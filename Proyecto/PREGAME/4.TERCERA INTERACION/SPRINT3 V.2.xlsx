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52CD7C-9D7A-46C0-8CF6-990EC142A07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cklog" sheetId="1" r:id="rId1"/>
    <sheet name="Sprint 3" sheetId="4" r:id="rId2"/>
    <sheet name="Burdonchart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I29" i="5"/>
  <c r="H29" i="5"/>
  <c r="G29" i="5"/>
  <c r="F29" i="5"/>
  <c r="E29" i="5"/>
  <c r="D29" i="5"/>
  <c r="C29" i="5"/>
  <c r="J28" i="5"/>
  <c r="I28" i="5"/>
  <c r="H28" i="5"/>
  <c r="G28" i="5"/>
  <c r="F28" i="5"/>
  <c r="E28" i="5"/>
  <c r="D28" i="5"/>
  <c r="C28" i="5"/>
</calcChain>
</file>

<file path=xl/sharedStrings.xml><?xml version="1.0" encoding="utf-8"?>
<sst xmlns="http://schemas.openxmlformats.org/spreadsheetml/2006/main" count="191" uniqueCount="97">
  <si>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</si>
  <si>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</si>
  <si>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</si>
  <si>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</si>
  <si>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</si>
  <si>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</si>
  <si>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</si>
  <si>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</si>
  <si>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</si>
  <si>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Pendiente</t>
  </si>
  <si>
    <t>Mediana</t>
  </si>
  <si>
    <t>REQ010</t>
  </si>
  <si>
    <t>Visualizar catálogo de productos</t>
  </si>
  <si>
    <t>Cliente logueado</t>
  </si>
  <si>
    <t>Visualizar todos los productos MPG-CAPS con stock disponible (stock &gt; 0)</t>
  </si>
  <si>
    <t>Conocer qué productos puede comprar de forma clara y sencilla</t>
  </si>
  <si>
    <t>#catalogo</t>
  </si>
  <si>
    <t>REQ011</t>
  </si>
  <si>
    <t>Agregar productos al carrito</t>
  </si>
  <si>
    <t>Agregar productos al carrito de compras especificando cantidad</t>
  </si>
  <si>
    <t>Preparar el pedido de forma ordenada antes de confirmar la compra</t>
  </si>
  <si>
    <t>#carrito</t>
  </si>
  <si>
    <t>REQ012</t>
  </si>
  <si>
    <t>Registrar pedido</t>
  </si>
  <si>
    <t>Confirmar el carrito y registrar un pedido de forma automática</t>
  </si>
  <si>
    <t>Automatizar el flujo de ventas, reduciendo errores y tiempos de respuesta</t>
  </si>
  <si>
    <t>#pedidos</t>
  </si>
  <si>
    <t>REQ013</t>
  </si>
  <si>
    <t>Ver historial de pedidos</t>
  </si>
  <si>
    <t>Ver todos mis pedidos anteriores ordenados por fecha</t>
  </si>
  <si>
    <t>Hacer seguimiento de mis compras y conocer mi actividad como cliente</t>
  </si>
  <si>
    <t>#historial</t>
  </si>
  <si>
    <t>Necesito</t>
  </si>
  <si>
    <t>así podre...</t>
  </si>
  <si>
    <t>Prioridad</t>
  </si>
  <si>
    <t>Status</t>
  </si>
  <si>
    <t>Tareas</t>
  </si>
  <si>
    <t>Asignado</t>
  </si>
  <si>
    <t>Estimado</t>
  </si>
  <si>
    <t>Santiago Chafla</t>
  </si>
  <si>
    <t>Edmir Madrid</t>
  </si>
  <si>
    <t>Anthony Guaycha</t>
  </si>
  <si>
    <t>Janine Cayo</t>
  </si>
  <si>
    <t>REQ010-1</t>
  </si>
  <si>
    <t>Crear interfaz en JAVA para mostrar el catálogo de productos disponibles</t>
  </si>
  <si>
    <t>REQ010-2</t>
  </si>
  <si>
    <t>Consultar en MongoDB únicamente productos con stock mayor a 0</t>
  </si>
  <si>
    <t>REQ010-3</t>
  </si>
  <si>
    <t>Mostrar serial, nombre, precio y stock en tabla o tarjetas</t>
  </si>
  <si>
    <t>REQ010-4</t>
  </si>
  <si>
    <t>Implementar actualización automática/refresco del catálogo</t>
  </si>
  <si>
    <t>REQ010-5</t>
  </si>
  <si>
    <t>Realizar pruebas para verificar que no aparezcan productos sin stock</t>
  </si>
  <si>
    <t>REQ011-1</t>
  </si>
  <si>
    <t>Agregar botón "Agregar" en cada producto del catálogo</t>
  </si>
  <si>
    <t>REQ011-2</t>
  </si>
  <si>
    <t>Crear estructura temporal del carrito de compras</t>
  </si>
  <si>
    <t>REQ011-3</t>
  </si>
  <si>
    <t>Validar que la cantidad solicitada no supere el stock disponible</t>
  </si>
  <si>
    <t>REQ011-4</t>
  </si>
  <si>
    <t>Mostrar resumen del carrito con productos, cantidades y subtotales</t>
  </si>
  <si>
    <t>REQ011-5</t>
  </si>
  <si>
    <t>Permitir modificar o quitar productos antes de confirmar</t>
  </si>
  <si>
    <t>REQ011-6</t>
  </si>
  <si>
    <t>Realizar pruebas de validación de stock y actualización del resumen</t>
  </si>
  <si>
    <t>REQ012-1</t>
  </si>
  <si>
    <t>Crear botón "Confirmar pedido" en la vista del carrito</t>
  </si>
  <si>
    <t>REQ012-2</t>
  </si>
  <si>
    <t>Calcular automáticamente subtotales y total del pedido</t>
  </si>
  <si>
    <t>REQ012-3</t>
  </si>
  <si>
    <t>Guardar en MongoDB idCliente, fecha, detalle de productos y total</t>
  </si>
  <si>
    <t>REQ012-4</t>
  </si>
  <si>
    <t>Limpiar el carrito después de registrar el pedido correctamente</t>
  </si>
  <si>
    <t>REQ012-5</t>
  </si>
  <si>
    <t>Mostrar mensaje de confirmación o error según resultado del registro</t>
  </si>
  <si>
    <t>REQ012-6</t>
  </si>
  <si>
    <t>Realizar pruebas de registro automático y persistencia del pedido</t>
  </si>
  <si>
    <t>REQ013-1</t>
  </si>
  <si>
    <t>Crear interfaz para consultar el historial de pedidos del cliente</t>
  </si>
  <si>
    <t>REQ013-2</t>
  </si>
  <si>
    <t>Consultar pedidos en MongoDB filtrando por idCliente de la sesión</t>
  </si>
  <si>
    <t>REQ013-3</t>
  </si>
  <si>
    <t>Ordenar los pedidos por fecha de compra de forma descendente</t>
  </si>
  <si>
    <t>REQ013-4</t>
  </si>
  <si>
    <t>Permitir visualizar el detalle de productos de cada pedido</t>
  </si>
  <si>
    <t>REQ013-5</t>
  </si>
  <si>
    <t>Realizar pruebas para confirmar que el cliente solo vea sus pedidos</t>
  </si>
  <si>
    <t>Dia 1</t>
  </si>
  <si>
    <t>Dia 2</t>
  </si>
  <si>
    <t>Dia 3</t>
  </si>
  <si>
    <t>Dia 4</t>
  </si>
  <si>
    <t>Dia 5</t>
  </si>
  <si>
    <t>Dia 6</t>
  </si>
  <si>
    <t>Dia 7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</si>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</sst>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rgb="FF000000"/>
      <name val="Arial"/>
    </font>
    <font>
      <sz val="10"/>
      <name val="Arial"/>
    </font>
    <font>
      <b/>
      <sz val="11"/>
      <color rgb="FF000000"/>
      <name val="&quot;Times New Roman&quot;"/>
    </font>
    <font>
      <sz val="10"/>
      <color rgb="FF000000"/>
      <name val="Arial"/>
      <scheme val="minor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1"/>
      <color rgb="FF000000"/>
      <name val="Inconsolata"/>
    </font>
    <font>
      <sz val="8"/>
      <name val="Arial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5" fillId="3" borderId="1" xfId="0" applyFont="1" applyFill="1" applyBorder="1" applyAlignment="1">
      <alignment horizontal="center"/>
    </xf>
    <xf numFmtId="0" fontId="6" fillId="3" borderId="0" xfId="0" applyFont="1" applyFill="1"/>
    <xf numFmtId="0" fontId="7" fillId="2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8" fillId="3" borderId="0" xfId="0" applyFont="1" applyFill="1"/>
    <xf numFmtId="0" fontId="7" fillId="0" borderId="1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Font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/>
    </xf>
    <xf numFmtId="0" fontId="0" fillId="7" borderId="0" xfId="0" applyFont="1" applyFill="1" applyAlignment="1">
      <alignment vertical="center" wrapText="1"/>
    </xf>
    <xf numFmtId="0" fontId="3" fillId="8" borderId="0" xfId="0" applyFont="1" applyFill="1" applyAlignment="1">
      <alignment horizontal="right"/>
    </xf>
    <xf numFmtId="0" fontId="7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left"/>
    </xf>
    <xf numFmtId="0" fontId="3" fillId="0" borderId="0" xfId="0" applyFont="1" applyAlignment="1"/>
    <xf numFmtId="0" fontId="11" fillId="4" borderId="5" xfId="0" applyFont="1" applyFill="1" applyBorder="1"/>
    <xf numFmtId="0" fontId="11" fillId="0" borderId="5" xfId="0" applyFont="1" applyBorder="1"/>
    <xf numFmtId="0" fontId="9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Burdonchart!$C$28:$J$28</c:f>
              <c:numCache>
                <c:formatCode>General</c:formatCode>
                <c:ptCount val="8"/>
                <c:pt idx="0">
                  <c:v>48</c:v>
                </c:pt>
                <c:pt idx="1">
                  <c:v>45</c:v>
                </c:pt>
                <c:pt idx="2">
                  <c:v>36</c:v>
                </c:pt>
                <c:pt idx="3">
                  <c:v>27</c:v>
                </c:pt>
                <c:pt idx="4">
                  <c:v>16</c:v>
                </c:pt>
                <c:pt idx="5">
                  <c:v>7</c:v>
                </c:pt>
                <c:pt idx="6">
                  <c:v>0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3-471B-8C1E-0DB53ADDF4D5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Burdonchart!$C$29:$J$29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3-471B-8C1E-0DB53ADD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8</xdr:row>
      <xdr:rowOff>0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42CBF-32AA-4C86-B3B9-F6777B0A9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acklog%20V.2.xlsx" TargetMode="External"/><Relationship Id="rId1" Type="http://schemas.openxmlformats.org/officeDocument/2006/relationships/externalLinkPath" Target="Backlog%20V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 1"/>
      <sheetName val="Sprint 2"/>
      <sheetName val="Sprint 3"/>
      <sheetName val="Burdonchart"/>
    </sheetNames>
    <sheetDataSet>
      <sheetData sheetId="0"/>
      <sheetData sheetId="1"/>
      <sheetData sheetId="2"/>
      <sheetData sheetId="3"/>
      <sheetData sheetId="4">
        <row r="27">
          <cell r="B27" t="str">
            <v>Horas Estimadas</v>
          </cell>
          <cell r="C27">
            <v>37</v>
          </cell>
          <cell r="D27">
            <v>36</v>
          </cell>
          <cell r="E27">
            <v>29</v>
          </cell>
          <cell r="F27">
            <v>19</v>
          </cell>
          <cell r="G27">
            <v>13</v>
          </cell>
          <cell r="H27">
            <v>8</v>
          </cell>
          <cell r="I27">
            <v>2</v>
          </cell>
          <cell r="J27">
            <v>2</v>
          </cell>
        </row>
        <row r="28">
          <cell r="B28" t="str">
            <v>Horas Estimadas
 Restantes</v>
          </cell>
          <cell r="C28">
            <v>37</v>
          </cell>
          <cell r="D28">
            <v>36.285714300000002</v>
          </cell>
          <cell r="E28">
            <v>35.571428570000002</v>
          </cell>
          <cell r="F28">
            <v>34.857142860000003</v>
          </cell>
          <cell r="G28">
            <v>34.142857139999997</v>
          </cell>
          <cell r="H28">
            <v>33.428571429999998</v>
          </cell>
          <cell r="I28">
            <v>32.714285709999999</v>
          </cell>
          <cell r="J28">
            <v>32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0"/>
  <sheetViews>
    <sheetView topLeftCell="B1" workbookViewId="0">
      <selection activeCell="B8" sqref="B8"/>
    </sheetView>
  </sheetViews>
  <sheetFormatPr baseColWidth="10" defaultColWidth="12.5703125" defaultRowHeight="15" customHeight="1"/>
  <cols>
    <col min="1" max="1" width="12.42578125" customWidth="1"/>
    <col min="2" max="2" width="34.85546875" customWidth="1"/>
    <col min="3" max="3" width="16.85546875" customWidth="1"/>
    <col min="4" max="4" width="53.42578125" customWidth="1"/>
    <col min="5" max="5" width="40.42578125" customWidth="1"/>
    <col min="6" max="6" width="20.28515625" customWidth="1"/>
    <col min="7" max="26" width="12.42578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>
      <c r="A2" s="3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8</v>
      </c>
      <c r="H2" s="2" t="s">
        <v>9</v>
      </c>
    </row>
    <row r="3" spans="1:8" ht="27" customHeight="1">
      <c r="A3" s="3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21</v>
      </c>
      <c r="G3" s="2" t="s">
        <v>8</v>
      </c>
      <c r="H3" s="2" t="s">
        <v>9</v>
      </c>
    </row>
    <row r="4" spans="1:8" ht="24" customHeight="1">
      <c r="A4" s="3" t="s">
        <v>22</v>
      </c>
      <c r="B4" s="2" t="s">
        <v>23</v>
      </c>
      <c r="C4" s="2" t="s">
        <v>13</v>
      </c>
      <c r="D4" s="2" t="s">
        <v>24</v>
      </c>
      <c r="E4" s="2" t="s">
        <v>25</v>
      </c>
      <c r="F4" s="2" t="s">
        <v>26</v>
      </c>
      <c r="G4" s="2" t="s">
        <v>8</v>
      </c>
      <c r="H4" s="2" t="s">
        <v>9</v>
      </c>
    </row>
    <row r="5" spans="1:8" ht="26.25" customHeight="1">
      <c r="A5" s="3" t="s">
        <v>27</v>
      </c>
      <c r="B5" s="2" t="s">
        <v>28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10</v>
      </c>
      <c r="H5" s="2" t="s">
        <v>9</v>
      </c>
    </row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1"/>
  <sheetViews>
    <sheetView topLeftCell="A12" workbookViewId="0">
      <selection activeCell="B26" sqref="B26:E26"/>
    </sheetView>
  </sheetViews>
  <sheetFormatPr baseColWidth="10" defaultColWidth="12.5703125" defaultRowHeight="15" customHeight="1"/>
  <cols>
    <col min="2" max="2" width="52.28515625" customWidth="1"/>
    <col min="3" max="3" width="29.5703125" customWidth="1"/>
    <col min="4" max="4" width="59.7109375" customWidth="1"/>
    <col min="5" max="5" width="52" customWidth="1"/>
    <col min="6" max="6" width="16.140625" customWidth="1"/>
  </cols>
  <sheetData>
    <row r="1" spans="1:25" ht="15" customHeight="1">
      <c r="A1" s="5" t="s">
        <v>0</v>
      </c>
      <c r="B1" s="5" t="s">
        <v>1</v>
      </c>
      <c r="C1" s="5" t="s">
        <v>2</v>
      </c>
      <c r="D1" s="5" t="s">
        <v>32</v>
      </c>
      <c r="E1" s="5" t="s">
        <v>33</v>
      </c>
      <c r="F1" s="5" t="s">
        <v>5</v>
      </c>
      <c r="G1" s="5" t="s">
        <v>34</v>
      </c>
      <c r="H1" s="5" t="s">
        <v>35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4.2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8</v>
      </c>
      <c r="H2" s="7" t="s">
        <v>9</v>
      </c>
    </row>
    <row r="3" spans="1:25" ht="15" customHeight="1">
      <c r="A3" s="8"/>
      <c r="B3" s="23" t="s">
        <v>36</v>
      </c>
      <c r="C3" s="21"/>
      <c r="D3" s="21"/>
      <c r="E3" s="22"/>
      <c r="F3" s="5" t="s">
        <v>37</v>
      </c>
      <c r="G3" s="8"/>
      <c r="H3" s="5" t="s">
        <v>38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4.25">
      <c r="A4" s="10" t="s">
        <v>43</v>
      </c>
      <c r="B4" s="20" t="s">
        <v>44</v>
      </c>
      <c r="C4" s="21"/>
      <c r="D4" s="21"/>
      <c r="E4" s="22"/>
      <c r="F4" s="10" t="s">
        <v>40</v>
      </c>
      <c r="G4" s="11"/>
      <c r="H4" s="12">
        <v>1</v>
      </c>
    </row>
    <row r="5" spans="1:25" ht="14.25">
      <c r="A5" s="10" t="s">
        <v>45</v>
      </c>
      <c r="B5" s="20" t="s">
        <v>46</v>
      </c>
      <c r="C5" s="21"/>
      <c r="D5" s="21"/>
      <c r="E5" s="22"/>
      <c r="F5" s="10" t="s">
        <v>40</v>
      </c>
      <c r="G5" s="11"/>
      <c r="H5" s="12">
        <v>1</v>
      </c>
    </row>
    <row r="6" spans="1:25" ht="14.25">
      <c r="A6" s="10" t="s">
        <v>47</v>
      </c>
      <c r="B6" s="20" t="s">
        <v>48</v>
      </c>
      <c r="C6" s="21"/>
      <c r="D6" s="21"/>
      <c r="E6" s="22"/>
      <c r="F6" s="10" t="s">
        <v>40</v>
      </c>
      <c r="G6" s="11"/>
      <c r="H6" s="12">
        <v>1</v>
      </c>
    </row>
    <row r="7" spans="1:25" ht="14.25">
      <c r="A7" s="10" t="s">
        <v>49</v>
      </c>
      <c r="B7" s="20" t="s">
        <v>50</v>
      </c>
      <c r="C7" s="21"/>
      <c r="D7" s="21"/>
      <c r="E7" s="22"/>
      <c r="F7" s="10" t="s">
        <v>40</v>
      </c>
      <c r="G7" s="11"/>
      <c r="H7" s="12">
        <v>1</v>
      </c>
    </row>
    <row r="8" spans="1:25" ht="14.25">
      <c r="A8" s="10" t="s">
        <v>51</v>
      </c>
      <c r="B8" s="20" t="s">
        <v>52</v>
      </c>
      <c r="C8" s="21"/>
      <c r="D8" s="21"/>
      <c r="E8" s="22"/>
      <c r="F8" s="10" t="s">
        <v>40</v>
      </c>
      <c r="G8" s="11"/>
      <c r="H8" s="12">
        <v>1</v>
      </c>
    </row>
    <row r="9" spans="1:25" ht="14.25">
      <c r="A9" s="7" t="s">
        <v>17</v>
      </c>
      <c r="B9" s="7" t="s">
        <v>18</v>
      </c>
      <c r="C9" s="7" t="s">
        <v>13</v>
      </c>
      <c r="D9" s="7" t="s">
        <v>19</v>
      </c>
      <c r="E9" s="7" t="s">
        <v>20</v>
      </c>
      <c r="F9" s="7" t="s">
        <v>21</v>
      </c>
      <c r="G9" s="7" t="s">
        <v>8</v>
      </c>
      <c r="H9" s="7" t="s">
        <v>9</v>
      </c>
    </row>
    <row r="10" spans="1:25" ht="15" customHeight="1">
      <c r="A10" s="8"/>
      <c r="B10" s="23" t="s">
        <v>36</v>
      </c>
      <c r="C10" s="21"/>
      <c r="D10" s="21"/>
      <c r="E10" s="22"/>
      <c r="F10" s="5" t="s">
        <v>37</v>
      </c>
      <c r="G10" s="8"/>
      <c r="H10" s="5" t="s">
        <v>38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4.25">
      <c r="A11" s="10" t="s">
        <v>53</v>
      </c>
      <c r="B11" s="20" t="s">
        <v>54</v>
      </c>
      <c r="C11" s="21"/>
      <c r="D11" s="21"/>
      <c r="E11" s="22"/>
      <c r="F11" s="10" t="s">
        <v>39</v>
      </c>
      <c r="G11" s="11"/>
      <c r="H11" s="12">
        <v>1</v>
      </c>
    </row>
    <row r="12" spans="1:25" ht="14.25">
      <c r="A12" s="10" t="s">
        <v>55</v>
      </c>
      <c r="B12" s="20" t="s">
        <v>56</v>
      </c>
      <c r="C12" s="21"/>
      <c r="D12" s="21"/>
      <c r="E12" s="22"/>
      <c r="F12" s="10" t="s">
        <v>39</v>
      </c>
      <c r="G12" s="11"/>
      <c r="H12" s="12">
        <v>1</v>
      </c>
    </row>
    <row r="13" spans="1:25" ht="14.25">
      <c r="A13" s="10" t="s">
        <v>57</v>
      </c>
      <c r="B13" s="20" t="s">
        <v>58</v>
      </c>
      <c r="C13" s="21"/>
      <c r="D13" s="21"/>
      <c r="E13" s="22"/>
      <c r="F13" s="10" t="s">
        <v>39</v>
      </c>
      <c r="G13" s="11"/>
      <c r="H13" s="12">
        <v>1</v>
      </c>
    </row>
    <row r="14" spans="1:25" ht="14.25">
      <c r="A14" s="10" t="s">
        <v>59</v>
      </c>
      <c r="B14" s="20" t="s">
        <v>60</v>
      </c>
      <c r="C14" s="21"/>
      <c r="D14" s="21"/>
      <c r="E14" s="22"/>
      <c r="F14" s="10" t="s">
        <v>39</v>
      </c>
      <c r="G14" s="11"/>
      <c r="H14" s="12">
        <v>1</v>
      </c>
    </row>
    <row r="15" spans="1:25" ht="14.25">
      <c r="A15" s="10" t="s">
        <v>61</v>
      </c>
      <c r="B15" s="20" t="s">
        <v>62</v>
      </c>
      <c r="C15" s="21"/>
      <c r="D15" s="21"/>
      <c r="E15" s="22"/>
      <c r="F15" s="10" t="s">
        <v>39</v>
      </c>
      <c r="G15" s="11"/>
      <c r="H15" s="12">
        <v>1</v>
      </c>
    </row>
    <row r="16" spans="1:25" ht="14.25">
      <c r="A16" s="10" t="s">
        <v>63</v>
      </c>
      <c r="B16" s="20" t="s">
        <v>64</v>
      </c>
      <c r="C16" s="21"/>
      <c r="D16" s="21"/>
      <c r="E16" s="22"/>
      <c r="F16" s="10" t="s">
        <v>39</v>
      </c>
      <c r="G16" s="11"/>
      <c r="H16" s="12">
        <v>1</v>
      </c>
    </row>
    <row r="17" spans="1:25" ht="14.25">
      <c r="A17" s="7" t="s">
        <v>22</v>
      </c>
      <c r="B17" s="7" t="s">
        <v>23</v>
      </c>
      <c r="C17" s="7" t="s">
        <v>13</v>
      </c>
      <c r="D17" s="7" t="s">
        <v>24</v>
      </c>
      <c r="E17" s="7" t="s">
        <v>25</v>
      </c>
      <c r="F17" s="7" t="s">
        <v>26</v>
      </c>
      <c r="G17" s="7" t="s">
        <v>8</v>
      </c>
      <c r="H17" s="7" t="s">
        <v>9</v>
      </c>
    </row>
    <row r="18" spans="1:25" ht="15" customHeight="1">
      <c r="A18" s="8"/>
      <c r="B18" s="23" t="s">
        <v>36</v>
      </c>
      <c r="C18" s="21"/>
      <c r="D18" s="21"/>
      <c r="E18" s="22"/>
      <c r="F18" s="5" t="s">
        <v>37</v>
      </c>
      <c r="G18" s="8"/>
      <c r="H18" s="5" t="s">
        <v>38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4.25">
      <c r="A19" s="10" t="s">
        <v>65</v>
      </c>
      <c r="B19" s="20" t="s">
        <v>66</v>
      </c>
      <c r="C19" s="21"/>
      <c r="D19" s="21"/>
      <c r="E19" s="22"/>
      <c r="F19" s="10" t="s">
        <v>41</v>
      </c>
      <c r="G19" s="11"/>
      <c r="H19" s="12">
        <v>1</v>
      </c>
    </row>
    <row r="20" spans="1:25" ht="14.25">
      <c r="A20" s="10" t="s">
        <v>67</v>
      </c>
      <c r="B20" s="20" t="s">
        <v>68</v>
      </c>
      <c r="C20" s="21"/>
      <c r="D20" s="21"/>
      <c r="E20" s="22"/>
      <c r="F20" s="10" t="s">
        <v>41</v>
      </c>
      <c r="G20" s="11"/>
      <c r="H20" s="12">
        <v>1</v>
      </c>
    </row>
    <row r="21" spans="1:25" ht="14.25">
      <c r="A21" s="10" t="s">
        <v>69</v>
      </c>
      <c r="B21" s="20" t="s">
        <v>70</v>
      </c>
      <c r="C21" s="21"/>
      <c r="D21" s="21"/>
      <c r="E21" s="22"/>
      <c r="F21" s="10" t="s">
        <v>41</v>
      </c>
      <c r="G21" s="11"/>
      <c r="H21" s="12">
        <v>1</v>
      </c>
    </row>
    <row r="22" spans="1:25" ht="14.25">
      <c r="A22" s="10" t="s">
        <v>71</v>
      </c>
      <c r="B22" s="20" t="s">
        <v>72</v>
      </c>
      <c r="C22" s="21"/>
      <c r="D22" s="21"/>
      <c r="E22" s="22"/>
      <c r="F22" s="10" t="s">
        <v>41</v>
      </c>
      <c r="G22" s="11"/>
      <c r="H22" s="12">
        <v>1</v>
      </c>
    </row>
    <row r="23" spans="1:25" ht="14.25">
      <c r="A23" s="10" t="s">
        <v>73</v>
      </c>
      <c r="B23" s="20" t="s">
        <v>74</v>
      </c>
      <c r="C23" s="21"/>
      <c r="D23" s="21"/>
      <c r="E23" s="22"/>
      <c r="F23" s="10" t="s">
        <v>41</v>
      </c>
      <c r="G23" s="11"/>
      <c r="H23" s="12">
        <v>1</v>
      </c>
    </row>
    <row r="24" spans="1:25" ht="14.25">
      <c r="A24" s="10" t="s">
        <v>75</v>
      </c>
      <c r="B24" s="20" t="s">
        <v>76</v>
      </c>
      <c r="C24" s="21"/>
      <c r="D24" s="21"/>
      <c r="E24" s="22"/>
      <c r="F24" s="10" t="s">
        <v>41</v>
      </c>
      <c r="G24" s="11"/>
      <c r="H24" s="12">
        <v>1</v>
      </c>
    </row>
    <row r="25" spans="1:25" ht="14.25">
      <c r="A25" s="7" t="s">
        <v>27</v>
      </c>
      <c r="B25" s="7" t="s">
        <v>28</v>
      </c>
      <c r="C25" s="7" t="s">
        <v>13</v>
      </c>
      <c r="D25" s="7" t="s">
        <v>29</v>
      </c>
      <c r="E25" s="7" t="s">
        <v>30</v>
      </c>
      <c r="F25" s="7" t="s">
        <v>31</v>
      </c>
      <c r="G25" s="7" t="s">
        <v>10</v>
      </c>
      <c r="H25" s="7" t="s">
        <v>9</v>
      </c>
    </row>
    <row r="26" spans="1:25">
      <c r="A26" s="8"/>
      <c r="B26" s="23" t="s">
        <v>36</v>
      </c>
      <c r="C26" s="21"/>
      <c r="D26" s="21"/>
      <c r="E26" s="22"/>
      <c r="F26" s="5" t="s">
        <v>37</v>
      </c>
      <c r="G26" s="8"/>
      <c r="H26" s="5" t="s">
        <v>38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4.25">
      <c r="A27" s="10" t="s">
        <v>77</v>
      </c>
      <c r="B27" s="20" t="s">
        <v>78</v>
      </c>
      <c r="C27" s="21"/>
      <c r="D27" s="21"/>
      <c r="E27" s="22"/>
      <c r="F27" s="10" t="s">
        <v>42</v>
      </c>
      <c r="G27" s="11"/>
      <c r="H27" s="12">
        <v>1</v>
      </c>
    </row>
    <row r="28" spans="1:25" ht="14.25">
      <c r="A28" s="10" t="s">
        <v>79</v>
      </c>
      <c r="B28" s="20" t="s">
        <v>80</v>
      </c>
      <c r="C28" s="21"/>
      <c r="D28" s="21"/>
      <c r="E28" s="22"/>
      <c r="F28" s="10" t="s">
        <v>42</v>
      </c>
      <c r="G28" s="11"/>
      <c r="H28" s="12">
        <v>1</v>
      </c>
    </row>
    <row r="29" spans="1:25" ht="14.25">
      <c r="A29" s="10" t="s">
        <v>81</v>
      </c>
      <c r="B29" s="20" t="s">
        <v>82</v>
      </c>
      <c r="C29" s="21"/>
      <c r="D29" s="21"/>
      <c r="E29" s="22"/>
      <c r="F29" s="10" t="s">
        <v>42</v>
      </c>
      <c r="G29" s="11"/>
      <c r="H29" s="12">
        <v>1</v>
      </c>
    </row>
    <row r="30" spans="1:25" ht="14.25">
      <c r="A30" s="10" t="s">
        <v>83</v>
      </c>
      <c r="B30" s="20" t="s">
        <v>84</v>
      </c>
      <c r="C30" s="21"/>
      <c r="D30" s="21"/>
      <c r="E30" s="22"/>
      <c r="F30" s="10" t="s">
        <v>42</v>
      </c>
      <c r="G30" s="11"/>
      <c r="H30" s="12">
        <v>1</v>
      </c>
    </row>
    <row r="31" spans="1:25" ht="14.25">
      <c r="A31" s="10" t="s">
        <v>85</v>
      </c>
      <c r="B31" s="20" t="s">
        <v>86</v>
      </c>
      <c r="C31" s="21"/>
      <c r="D31" s="21"/>
      <c r="E31" s="22"/>
      <c r="F31" s="10" t="s">
        <v>42</v>
      </c>
      <c r="G31" s="11"/>
      <c r="H31" s="12">
        <v>1</v>
      </c>
    </row>
  </sheetData>
  <mergeCells count="26">
    <mergeCell ref="B3:E3"/>
    <mergeCell ref="B4:E4"/>
    <mergeCell ref="B5:E5"/>
    <mergeCell ref="B6:E6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27:E27"/>
    <mergeCell ref="B28:E28"/>
    <mergeCell ref="B29:E29"/>
    <mergeCell ref="B30:E30"/>
    <mergeCell ref="B31:E31"/>
    <mergeCell ref="B19:E19"/>
    <mergeCell ref="B20:E20"/>
    <mergeCell ref="B21:E21"/>
    <mergeCell ref="B22:E22"/>
    <mergeCell ref="B23:E23"/>
    <mergeCell ref="B24:E24"/>
    <mergeCell ref="B26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6"/>
  <sheetViews>
    <sheetView tabSelected="1" topLeftCell="A8" zoomScale="79" workbookViewId="0">
      <selection activeCell="L29" sqref="L29"/>
    </sheetView>
  </sheetViews>
  <sheetFormatPr baseColWidth="10" defaultColWidth="12.5703125" defaultRowHeight="15" customHeight="1"/>
  <sheetData>
    <row r="1" spans="1:24" ht="12.7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2.7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2.75">
      <c r="A3" s="4"/>
      <c r="B3" s="4"/>
      <c r="C3" s="13" t="s">
        <v>38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  <c r="I3" s="13" t="s">
        <v>92</v>
      </c>
      <c r="J3" s="13" t="s">
        <v>93</v>
      </c>
      <c r="K3" s="13" t="s">
        <v>94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>
      <c r="A4" s="4"/>
      <c r="B4" s="13" t="s">
        <v>43</v>
      </c>
      <c r="C4" s="16">
        <v>4</v>
      </c>
      <c r="D4" s="15">
        <v>1</v>
      </c>
      <c r="E4" s="15">
        <v>2</v>
      </c>
      <c r="F4" s="15">
        <v>1</v>
      </c>
      <c r="G4" s="15">
        <v>0</v>
      </c>
      <c r="H4" s="15">
        <v>0</v>
      </c>
      <c r="I4" s="15">
        <v>0</v>
      </c>
      <c r="J4" s="15">
        <v>0</v>
      </c>
      <c r="K4" s="18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>
      <c r="A5" s="4"/>
      <c r="B5" s="13" t="s">
        <v>45</v>
      </c>
      <c r="C5" s="16">
        <v>2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8">
        <v>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customHeight="1">
      <c r="A6" s="4"/>
      <c r="B6" s="13" t="s">
        <v>47</v>
      </c>
      <c r="C6" s="16">
        <v>3</v>
      </c>
      <c r="D6" s="15">
        <v>1</v>
      </c>
      <c r="E6" s="15">
        <v>1</v>
      </c>
      <c r="F6" s="15">
        <v>1</v>
      </c>
      <c r="G6" s="15">
        <v>0</v>
      </c>
      <c r="H6" s="15">
        <v>0</v>
      </c>
      <c r="I6" s="15">
        <v>0</v>
      </c>
      <c r="J6" s="15">
        <v>0</v>
      </c>
      <c r="K6" s="18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" customHeight="1">
      <c r="A7" s="4"/>
      <c r="B7" s="13" t="s">
        <v>49</v>
      </c>
      <c r="C7" s="16">
        <v>2</v>
      </c>
      <c r="D7" s="15">
        <v>0</v>
      </c>
      <c r="E7" s="15">
        <v>1</v>
      </c>
      <c r="F7" s="15">
        <v>1</v>
      </c>
      <c r="G7" s="15">
        <v>0</v>
      </c>
      <c r="H7" s="15">
        <v>0</v>
      </c>
      <c r="I7" s="15">
        <v>0</v>
      </c>
      <c r="J7" s="15">
        <v>0</v>
      </c>
      <c r="K7" s="18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" customHeight="1">
      <c r="A8" s="4"/>
      <c r="B8" s="13" t="s">
        <v>51</v>
      </c>
      <c r="C8" s="16">
        <v>2</v>
      </c>
      <c r="D8" s="15">
        <v>0</v>
      </c>
      <c r="E8" s="15">
        <v>1</v>
      </c>
      <c r="F8" s="15">
        <v>0</v>
      </c>
      <c r="G8" s="15">
        <v>1</v>
      </c>
      <c r="H8" s="15">
        <v>0</v>
      </c>
      <c r="I8" s="15">
        <v>0</v>
      </c>
      <c r="J8" s="15">
        <v>0</v>
      </c>
      <c r="K8" s="18">
        <v>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" customHeight="1">
      <c r="A9" s="4"/>
      <c r="B9" s="13" t="s">
        <v>53</v>
      </c>
      <c r="C9" s="16">
        <v>3</v>
      </c>
      <c r="D9" s="15">
        <v>0</v>
      </c>
      <c r="E9" s="15">
        <v>2</v>
      </c>
      <c r="F9" s="15">
        <v>1</v>
      </c>
      <c r="G9" s="15">
        <v>0</v>
      </c>
      <c r="H9" s="15">
        <v>0</v>
      </c>
      <c r="I9" s="15">
        <v>0</v>
      </c>
      <c r="J9" s="15">
        <v>0</v>
      </c>
      <c r="K9" s="18">
        <v>3</v>
      </c>
      <c r="L9" s="4"/>
      <c r="M9" s="4"/>
      <c r="N9" s="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5" customHeight="1">
      <c r="A10" s="4"/>
      <c r="B10" s="13" t="s">
        <v>55</v>
      </c>
      <c r="C10" s="16">
        <v>3</v>
      </c>
      <c r="D10" s="15">
        <v>0</v>
      </c>
      <c r="E10" s="15">
        <v>1</v>
      </c>
      <c r="F10" s="15">
        <v>2</v>
      </c>
      <c r="G10" s="15">
        <v>0</v>
      </c>
      <c r="H10" s="15">
        <v>0</v>
      </c>
      <c r="I10" s="15">
        <v>0</v>
      </c>
      <c r="J10" s="15">
        <v>0</v>
      </c>
      <c r="K10" s="18">
        <v>3</v>
      </c>
      <c r="L10" s="4"/>
      <c r="M10" s="4"/>
      <c r="N10" s="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5" customHeight="1">
      <c r="A11" s="4"/>
      <c r="B11" s="13" t="s">
        <v>57</v>
      </c>
      <c r="C11" s="16">
        <v>2</v>
      </c>
      <c r="D11" s="15">
        <v>0</v>
      </c>
      <c r="E11" s="15">
        <v>0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8">
        <v>2</v>
      </c>
      <c r="L11" s="4"/>
      <c r="M11" s="4"/>
      <c r="N11" s="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5" customHeight="1">
      <c r="A12" s="4"/>
      <c r="B12" s="13" t="s">
        <v>59</v>
      </c>
      <c r="C12" s="16">
        <v>2</v>
      </c>
      <c r="D12" s="15">
        <v>0</v>
      </c>
      <c r="E12" s="15">
        <v>0</v>
      </c>
      <c r="F12" s="15">
        <v>1</v>
      </c>
      <c r="G12" s="15">
        <v>0</v>
      </c>
      <c r="H12" s="15">
        <v>1</v>
      </c>
      <c r="I12" s="15">
        <v>0</v>
      </c>
      <c r="J12" s="15">
        <v>0</v>
      </c>
      <c r="K12" s="18">
        <v>2</v>
      </c>
      <c r="L12" s="4"/>
      <c r="M12" s="4"/>
      <c r="N12" s="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5" customHeight="1">
      <c r="A13" s="4"/>
      <c r="B13" s="13" t="s">
        <v>61</v>
      </c>
      <c r="C13" s="16">
        <v>2</v>
      </c>
      <c r="D13" s="15">
        <v>0</v>
      </c>
      <c r="E13" s="15">
        <v>0</v>
      </c>
      <c r="F13" s="15">
        <v>0</v>
      </c>
      <c r="G13" s="15">
        <v>1</v>
      </c>
      <c r="H13" s="15">
        <v>1</v>
      </c>
      <c r="I13" s="15">
        <v>0</v>
      </c>
      <c r="J13" s="15">
        <v>0</v>
      </c>
      <c r="K13" s="18">
        <v>2</v>
      </c>
      <c r="L13" s="4"/>
      <c r="M13" s="4"/>
      <c r="N13" s="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5" customHeight="1">
      <c r="A14" s="4"/>
      <c r="B14" s="13" t="s">
        <v>63</v>
      </c>
      <c r="C14" s="16">
        <v>4</v>
      </c>
      <c r="D14" s="15">
        <v>0</v>
      </c>
      <c r="E14" s="15">
        <v>0</v>
      </c>
      <c r="F14" s="15">
        <v>1</v>
      </c>
      <c r="G14" s="15">
        <v>2</v>
      </c>
      <c r="H14" s="15">
        <v>1</v>
      </c>
      <c r="I14" s="15">
        <v>0</v>
      </c>
      <c r="J14" s="15">
        <v>0</v>
      </c>
      <c r="K14" s="18">
        <v>4</v>
      </c>
      <c r="L14" s="4"/>
      <c r="M14" s="4"/>
      <c r="N14" s="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5" customHeight="1">
      <c r="A15" s="4"/>
      <c r="B15" s="13" t="s">
        <v>65</v>
      </c>
      <c r="C15" s="16">
        <v>1</v>
      </c>
      <c r="D15" s="15">
        <v>0</v>
      </c>
      <c r="E15" s="15">
        <v>0</v>
      </c>
      <c r="F15" s="15">
        <v>0</v>
      </c>
      <c r="G15" s="15">
        <v>1</v>
      </c>
      <c r="H15" s="15">
        <v>0</v>
      </c>
      <c r="I15" s="15">
        <v>0</v>
      </c>
      <c r="J15" s="15">
        <v>0</v>
      </c>
      <c r="K15" s="18">
        <v>1</v>
      </c>
      <c r="L15" s="4"/>
      <c r="M15" s="4"/>
      <c r="N15" s="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5" customHeight="1">
      <c r="A16" s="4"/>
      <c r="B16" s="13" t="s">
        <v>67</v>
      </c>
      <c r="C16" s="16">
        <v>3</v>
      </c>
      <c r="D16" s="15">
        <v>0</v>
      </c>
      <c r="E16" s="15">
        <v>0</v>
      </c>
      <c r="F16" s="15">
        <v>0</v>
      </c>
      <c r="G16" s="15">
        <v>1</v>
      </c>
      <c r="H16" s="15">
        <v>2</v>
      </c>
      <c r="I16" s="15">
        <v>0</v>
      </c>
      <c r="J16" s="15">
        <v>0</v>
      </c>
      <c r="K16" s="18">
        <v>3</v>
      </c>
      <c r="L16" s="4"/>
      <c r="M16" s="4"/>
      <c r="N16" s="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5" customHeight="1">
      <c r="A17" s="4"/>
      <c r="B17" s="13" t="s">
        <v>69</v>
      </c>
      <c r="C17" s="16">
        <v>2</v>
      </c>
      <c r="D17" s="15">
        <v>0</v>
      </c>
      <c r="E17" s="15">
        <v>0</v>
      </c>
      <c r="F17" s="15">
        <v>0</v>
      </c>
      <c r="G17" s="15">
        <v>1</v>
      </c>
      <c r="H17" s="15">
        <v>1</v>
      </c>
      <c r="I17" s="15">
        <v>0</v>
      </c>
      <c r="J17" s="15">
        <v>0</v>
      </c>
      <c r="K17" s="18">
        <v>2</v>
      </c>
      <c r="L17" s="4"/>
      <c r="M17" s="4"/>
      <c r="N17" s="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5" customHeight="1">
      <c r="A18" s="4"/>
      <c r="B18" s="13" t="s">
        <v>71</v>
      </c>
      <c r="C18" s="16">
        <v>2</v>
      </c>
      <c r="D18" s="15">
        <v>0</v>
      </c>
      <c r="E18" s="15">
        <v>0</v>
      </c>
      <c r="F18" s="15">
        <v>0</v>
      </c>
      <c r="G18" s="15">
        <v>0</v>
      </c>
      <c r="H18" s="15">
        <v>1</v>
      </c>
      <c r="I18" s="15">
        <v>1</v>
      </c>
      <c r="J18" s="15">
        <v>0</v>
      </c>
      <c r="K18" s="18">
        <v>2</v>
      </c>
      <c r="L18" s="4"/>
      <c r="M18" s="4"/>
      <c r="N18" s="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5" customHeight="1">
      <c r="A19" s="4"/>
      <c r="B19" s="13" t="s">
        <v>73</v>
      </c>
      <c r="C19" s="16">
        <v>3</v>
      </c>
      <c r="D19" s="15">
        <v>0</v>
      </c>
      <c r="E19" s="15">
        <v>0</v>
      </c>
      <c r="F19" s="15">
        <v>0</v>
      </c>
      <c r="G19" s="15">
        <v>0</v>
      </c>
      <c r="H19" s="15">
        <v>1</v>
      </c>
      <c r="I19" s="15">
        <v>2</v>
      </c>
      <c r="J19" s="15">
        <v>0</v>
      </c>
      <c r="K19" s="18">
        <v>3</v>
      </c>
      <c r="L19" s="4"/>
      <c r="M19" s="4"/>
      <c r="N19" s="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5" customHeight="1">
      <c r="A20" s="4"/>
      <c r="B20" s="13" t="s">
        <v>75</v>
      </c>
      <c r="C20" s="16">
        <v>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1</v>
      </c>
      <c r="J20" s="15">
        <v>1</v>
      </c>
      <c r="K20" s="18">
        <v>2</v>
      </c>
      <c r="L20" s="4"/>
      <c r="M20" s="4"/>
      <c r="N20" s="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" customHeight="1">
      <c r="A21" s="4"/>
      <c r="B21" s="13" t="s">
        <v>77</v>
      </c>
      <c r="C21" s="16">
        <v>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2</v>
      </c>
      <c r="J21" s="15">
        <v>0</v>
      </c>
      <c r="K21" s="18">
        <v>2</v>
      </c>
      <c r="L21" s="4"/>
      <c r="M21" s="4"/>
      <c r="N21" s="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" customHeight="1">
      <c r="A22" s="4"/>
      <c r="B22" s="13" t="s">
        <v>79</v>
      </c>
      <c r="C22" s="16">
        <v>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1</v>
      </c>
      <c r="J22" s="15">
        <v>1</v>
      </c>
      <c r="K22" s="18">
        <v>2</v>
      </c>
      <c r="L22" s="4"/>
      <c r="M22" s="4"/>
      <c r="N22" s="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" customHeight="1">
      <c r="A23" s="4"/>
      <c r="B23" s="13" t="s">
        <v>81</v>
      </c>
      <c r="C23" s="16">
        <v>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2</v>
      </c>
      <c r="K23" s="18">
        <v>2</v>
      </c>
      <c r="L23" s="4"/>
      <c r="M23" s="4"/>
      <c r="N23" s="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" customHeight="1">
      <c r="A24" s="13"/>
      <c r="B24" s="13" t="s">
        <v>83</v>
      </c>
      <c r="C24" s="17">
        <v>0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0</v>
      </c>
      <c r="J24" s="14">
        <v>0</v>
      </c>
      <c r="K24" s="19">
        <v>2</v>
      </c>
      <c r="L24" s="13"/>
      <c r="M24" s="13"/>
      <c r="N24" s="13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" customHeight="1">
      <c r="A25" s="13"/>
      <c r="B25" s="13" t="s">
        <v>85</v>
      </c>
      <c r="C25" s="17">
        <v>0</v>
      </c>
      <c r="D25" s="14">
        <v>0</v>
      </c>
      <c r="E25" s="14">
        <v>0</v>
      </c>
      <c r="F25" s="14">
        <v>0</v>
      </c>
      <c r="G25" s="14">
        <v>1</v>
      </c>
      <c r="H25" s="14">
        <v>1</v>
      </c>
      <c r="I25" s="14">
        <v>0</v>
      </c>
      <c r="J25" s="14">
        <v>0</v>
      </c>
      <c r="K25" s="19">
        <v>2</v>
      </c>
      <c r="L25" s="13"/>
      <c r="M25" s="13"/>
      <c r="N25" s="13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2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7.25">
      <c r="A28" s="4"/>
      <c r="B28" s="25" t="s">
        <v>95</v>
      </c>
      <c r="C28" s="26">
        <f>SUM(C4:C25)</f>
        <v>48</v>
      </c>
      <c r="D28" s="26">
        <f>C28-SUM(D4:D25)</f>
        <v>45</v>
      </c>
      <c r="E28" s="27">
        <f>D28-SUM(E4:E25)</f>
        <v>36</v>
      </c>
      <c r="F28" s="26">
        <f>E28-SUM(F4:F25)</f>
        <v>27</v>
      </c>
      <c r="G28" s="26">
        <f>F28-SUM(G4:G25)</f>
        <v>16</v>
      </c>
      <c r="H28" s="26">
        <f>G28-SUM(H4:H25)</f>
        <v>7</v>
      </c>
      <c r="I28" s="26">
        <f>H28-SUM(I4:I25)</f>
        <v>0</v>
      </c>
      <c r="J28" s="26">
        <f>I28-SUM(J4:J25)</f>
        <v>-4</v>
      </c>
      <c r="K28" s="4"/>
      <c r="L28" s="4"/>
      <c r="M28" s="4"/>
      <c r="N28" s="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7.25">
      <c r="A29" s="4"/>
      <c r="B29" s="25" t="s">
        <v>96</v>
      </c>
      <c r="C29" s="26">
        <f>SUM(C4:C25)</f>
        <v>48</v>
      </c>
      <c r="D29" s="26">
        <f>C29-(SUM(C4:C25)/7)</f>
        <v>41.142857142857146</v>
      </c>
      <c r="E29" s="27">
        <f>D29-(SUM(C4:C25)/7)</f>
        <v>34.285714285714292</v>
      </c>
      <c r="F29" s="26">
        <f>E29-(SUM(C4:C25)/7)</f>
        <v>27.428571428571434</v>
      </c>
      <c r="G29" s="26">
        <f>F29-(SUM(C4:C25)/7)</f>
        <v>20.571428571428577</v>
      </c>
      <c r="H29" s="26">
        <f>G29-(SUM(C4:C25)/7)</f>
        <v>13.714285714285719</v>
      </c>
      <c r="I29" s="26">
        <f>H29-(SUM(C4:C25)/7)</f>
        <v>6.8571428571428621</v>
      </c>
      <c r="J29" s="26">
        <f>I29-(SUM(C4:C25)/7)</f>
        <v>0</v>
      </c>
      <c r="K29" s="4"/>
      <c r="L29" s="4"/>
      <c r="M29" s="4"/>
      <c r="N29" s="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</sheetData>
  <mergeCells count="1">
    <mergeCell ref="O9:X31"/>
  </mergeCells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FBE7C-AAA7-472E-B662-1334CE20C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2026-07-10T05:48:02Z</dcterms:modified>
</cp:coreProperties>
</file>