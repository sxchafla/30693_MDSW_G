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thony\Downloads\"/>
    </mc:Choice>
  </mc:AlternateContent>
  <xr:revisionPtr revIDLastSave="0" documentId="8_{D33E4675-89FE-4F80-9FDC-886BD7FA7BB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Backlog" sheetId="1" r:id="rId1"/>
    <sheet name="Sprint 1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3" l="1"/>
  <c r="D26" i="3" s="1"/>
  <c r="E26" i="3" s="1"/>
  <c r="F26" i="3" s="1"/>
  <c r="G26" i="3" s="1"/>
  <c r="H26" i="3" s="1"/>
  <c r="I26" i="3" s="1"/>
  <c r="J26" i="3" s="1"/>
  <c r="C27" i="3"/>
  <c r="D27" i="3" s="1"/>
  <c r="E27" i="3" s="1"/>
  <c r="F27" i="3" s="1"/>
  <c r="G27" i="3" s="1"/>
  <c r="H27" i="3" s="1"/>
  <c r="I27" i="3" s="1"/>
  <c r="J27" i="3" s="1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5" i="3"/>
  <c r="K6" i="3"/>
  <c r="K7" i="3"/>
  <c r="K4" i="3"/>
</calcChain>
</file>

<file path=xl/sharedStrings.xml><?xml version="1.0" encoding="utf-8"?>
<sst xmlns="http://schemas.openxmlformats.org/spreadsheetml/2006/main" count="198" uniqueCount="110">
  <si>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</si>
  <si>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</si>
  <si>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</si>
  <si>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</si>
  <si>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</si>
  <si>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</si>
  <si>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</si>
  <si>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</si>
  <si>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</si>
  <si>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y Control de Acceso</t>
  </si>
  <si>
    <t>Administrador</t>
  </si>
  <si>
    <t>Ingresar credenciales de acceso seguras</t>
  </si>
  <si>
    <t>Restringir el uso del aplicativo únicamente a personal autorizado</t>
  </si>
  <si>
    <t>Alta</t>
  </si>
  <si>
    <t>Pendiente</t>
  </si>
  <si>
    <t>REQ002</t>
  </si>
  <si>
    <t>Buscar Cápsula por Número de Serie</t>
  </si>
  <si>
    <t>Buscar una cápsula MPG-CAPS ingresando su número de serie</t>
  </si>
  <si>
    <t>Consultar de forma inmediata la información técnica y existencias en el catálogo</t>
  </si>
  <si>
    <t>REQ003</t>
  </si>
  <si>
    <t>Ingresar Nueva Cápsula</t>
  </si>
  <si>
    <t>Registrar una nueva cápsula MPG-CAPS especificando su número de serie único, nombre y propiedades</t>
  </si>
  <si>
    <t>Mantener actualizado el catálogo del negocio y evitar duplicidad de mercancía</t>
  </si>
  <si>
    <t>REQ004</t>
  </si>
  <si>
    <t>Editar Cápsula por Número de Serie</t>
  </si>
  <si>
    <t>Modificar los datos de una cápsula MPG-CAPS localizándola por su número de serie</t>
  </si>
  <si>
    <t>Corregir descripciones, rendimiento o empaque sin alterar la identidad del producto</t>
  </si>
  <si>
    <t>Mediana</t>
  </si>
  <si>
    <t>REQ005</t>
  </si>
  <si>
    <t>Eliminar Cápsula por Número de Serie</t>
  </si>
  <si>
    <t>Eliminar una cápsula MPG-CAPS del catálogo mediante su número de serie</t>
  </si>
  <si>
    <t>Remover de forma definitiva del sistema aquellos productos que ya no se comercializan</t>
  </si>
  <si>
    <t>Necesito</t>
  </si>
  <si>
    <t>así podre...</t>
  </si>
  <si>
    <t>Prioridad</t>
  </si>
  <si>
    <t>Status</t>
  </si>
  <si>
    <t>Iniciar sesión con usuario y contraseña</t>
  </si>
  <si>
    <t>Ingresar a gestionar y usar las opciones del aplicativo</t>
  </si>
  <si>
    <t>#intentos</t>
  </si>
  <si>
    <t>En curso</t>
  </si>
  <si>
    <t>Tareas</t>
  </si>
  <si>
    <t>Asignado</t>
  </si>
  <si>
    <t>Estimado</t>
  </si>
  <si>
    <t>REQ001-1</t>
  </si>
  <si>
    <t>Janine Cayo</t>
  </si>
  <si>
    <t>REQ001-2</t>
  </si>
  <si>
    <t>Creación de la base de datos usuario y contraseña</t>
  </si>
  <si>
    <t>REQ001-3</t>
  </si>
  <si>
    <t>Establecer base de datos de cuentas de administrador y cliente</t>
  </si>
  <si>
    <t>REQ001-4</t>
  </si>
  <si>
    <t xml:space="preserve">Realizar las respectivas conexiones en el código </t>
  </si>
  <si>
    <t>Buscar una capsula utilizando su numero de serie</t>
  </si>
  <si>
    <t>Consultar de forma inmediata la informacion y existecia en el catalogo</t>
  </si>
  <si>
    <t>REQ002-1</t>
  </si>
  <si>
    <t>REQ002-2</t>
  </si>
  <si>
    <t>REQ002-3</t>
  </si>
  <si>
    <t>REQ002-4</t>
  </si>
  <si>
    <t>Realizar las respectivas pruebas para comprobar el buen funcionamiento de la tarea</t>
  </si>
  <si>
    <t>REQ002-5</t>
  </si>
  <si>
    <t>#intentos de ingreso</t>
  </si>
  <si>
    <t>Terminado</t>
  </si>
  <si>
    <t>REQ003-1</t>
  </si>
  <si>
    <t>Crear interfaz en JAVA para registrar nuevas cápsulas MPG-CAPS</t>
  </si>
  <si>
    <t>Santiago Chafla</t>
  </si>
  <si>
    <t>REQ003-2</t>
  </si>
  <si>
    <t>Crear la colección en MongoDB para almacenar las cápsulas</t>
  </si>
  <si>
    <t>REQ003-3</t>
  </si>
  <si>
    <t>Realizar la conexión entre JAVA y MongoDB</t>
  </si>
  <si>
    <t>REQ003-4</t>
  </si>
  <si>
    <t>Validar que el número de serie no esté duplicado</t>
  </si>
  <si>
    <t>REQ004-1</t>
  </si>
  <si>
    <t>Anthony Guaycha</t>
  </si>
  <si>
    <t>REQ004-2</t>
  </si>
  <si>
    <t>Realizar la conexión entre JAVA y MongoDB para actualizar datos</t>
  </si>
  <si>
    <t>REQ004-3</t>
  </si>
  <si>
    <t>Validar la existencia del número de serie antes de editar</t>
  </si>
  <si>
    <t>REQ005-1</t>
  </si>
  <si>
    <t>Edmir Madrid</t>
  </si>
  <si>
    <t>REQ005-2</t>
  </si>
  <si>
    <t>REQ005-3</t>
  </si>
  <si>
    <t>Validar confirmación antes de eliminar registros</t>
  </si>
  <si>
    <t>REQ005-4</t>
  </si>
  <si>
    <t>Realizar pruebas de eliminación y manejo de errores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</si>
  <si>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</si>
  <si>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</si>
  <si>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</si>
  <si>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</si>
  <si>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</si>
  <si>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</si>
  <si>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</si>
  <si>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</si>
  <si>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</si>
  <si>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</si>
  <si>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Desarrollar interfaz de uso en lenguaje Java, para el inicio de sesion</t>
  </si>
  <si>
    <t>Implementar una tabla que permita visualizar y buscar el producto por el numero de serie</t>
  </si>
  <si>
    <t>Diseñar e integrar el campo de texto de búsqueda en la interfaz unificada de la tabla.</t>
  </si>
  <si>
    <t>Realizar las validaciones de entrada de datos y ejecutar las pruebas funcionales para asegurar el correcto filtrado en tiempo real.</t>
  </si>
  <si>
    <t xml:space="preserve">Permitir editar datos desde la tabla </t>
  </si>
  <si>
    <t>Integrar el botón de acción para la eliminación de la cápsula dentro de la interfaz unificada de la tabla.</t>
  </si>
  <si>
    <t>Permitir eliminar un producto de la base de datos seleccionandolo desde la tabla</t>
  </si>
  <si>
    <t>Inicio de sesion, control de acceso y registro del cliente</t>
  </si>
  <si>
    <t>Ingresar una nueva capsula al inventario</t>
  </si>
  <si>
    <t>Buscar una capsula ingresando su numero de serie</t>
  </si>
  <si>
    <t>Modificar los datos de la capsula buscandola por su numero de serie</t>
  </si>
  <si>
    <t>Eliminar una capsula mediante su numero de serie</t>
  </si>
  <si>
    <t>Cifrar contraseñas</t>
  </si>
  <si>
    <t xml:space="preserve">El número de serie es único e irrepetible	</t>
  </si>
  <si>
    <t>El número de serie es alfanumérico</t>
  </si>
  <si>
    <t>El número de serie no es editable una vez creado</t>
  </si>
  <si>
    <t>Validar integridad referencial.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</si>
</sst>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sz val="12"/>
      <color theme="4"/>
      <name val="Times New Roman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rgb="FF000000"/>
      <name val="Inconsolata"/>
    </font>
    <font>
      <sz val="8"/>
      <name val="Arial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Arial"/>
      <family val="2"/>
      <scheme val="minor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4"/>
    <xf numFmtId="0" fontId="1" fillId="0" borderId="4"/>
  </cellStyleXfs>
  <cellXfs count="47">
    <xf numFmtId="0" fontId="0" fillId="0" borderId="0" xfId="0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/>
    </xf>
    <xf numFmtId="0" fontId="4" fillId="2" borderId="1" xfId="0" applyFont="1" applyFill="1" applyBorder="1"/>
    <xf numFmtId="0" fontId="5" fillId="2" borderId="1" xfId="0" applyFont="1" applyFill="1" applyBorder="1"/>
    <xf numFmtId="0" fontId="3" fillId="2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4" xfId="0" applyFont="1" applyFill="1" applyBorder="1"/>
    <xf numFmtId="0" fontId="9" fillId="4" borderId="4" xfId="0" applyFont="1" applyFill="1" applyBorder="1"/>
    <xf numFmtId="0" fontId="7" fillId="5" borderId="5" xfId="0" applyFont="1" applyFill="1" applyBorder="1"/>
    <xf numFmtId="0" fontId="7" fillId="0" borderId="5" xfId="0" applyFont="1" applyBorder="1"/>
    <xf numFmtId="0" fontId="10" fillId="6" borderId="5" xfId="0" applyFont="1" applyFill="1" applyBorder="1"/>
    <xf numFmtId="0" fontId="0" fillId="0" borderId="3" xfId="0" applyBorder="1"/>
    <xf numFmtId="0" fontId="0" fillId="0" borderId="2" xfId="0" applyBorder="1"/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12" fillId="0" borderId="1" xfId="0" applyFont="1" applyBorder="1" applyAlignment="1">
      <alignment horizontal="right"/>
    </xf>
    <xf numFmtId="0" fontId="12" fillId="0" borderId="1" xfId="0" applyFont="1" applyBorder="1"/>
    <xf numFmtId="0" fontId="13" fillId="2" borderId="1" xfId="0" applyFont="1" applyFill="1" applyBorder="1"/>
    <xf numFmtId="0" fontId="14" fillId="2" borderId="1" xfId="0" applyFont="1" applyFill="1" applyBorder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3" fillId="0" borderId="6" xfId="0" applyFont="1" applyBorder="1"/>
    <xf numFmtId="0" fontId="3" fillId="0" borderId="2" xfId="0" applyFont="1" applyBorder="1"/>
    <xf numFmtId="0" fontId="3" fillId="0" borderId="3" xfId="0" applyFont="1" applyBorder="1"/>
    <xf numFmtId="0" fontId="13" fillId="0" borderId="6" xfId="0" applyFont="1" applyBorder="1"/>
    <xf numFmtId="0" fontId="13" fillId="0" borderId="2" xfId="0" applyFont="1" applyBorder="1"/>
    <xf numFmtId="0" fontId="13" fillId="0" borderId="3" xfId="0" applyFont="1" applyBorder="1"/>
    <xf numFmtId="0" fontId="14" fillId="0" borderId="6" xfId="0" applyFont="1" applyBorder="1"/>
    <xf numFmtId="0" fontId="14" fillId="0" borderId="2" xfId="0" applyFont="1" applyBorder="1"/>
    <xf numFmtId="0" fontId="14" fillId="0" borderId="3" xfId="0" applyFont="1" applyBorder="1"/>
    <xf numFmtId="0" fontId="4" fillId="0" borderId="6" xfId="0" applyFont="1" applyBorder="1"/>
    <xf numFmtId="0" fontId="4" fillId="0" borderId="2" xfId="0" applyFont="1" applyBorder="1"/>
    <xf numFmtId="0" fontId="4" fillId="0" borderId="3" xfId="0" applyFont="1" applyBorder="1"/>
    <xf numFmtId="0" fontId="16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0" xfId="0" applyFont="1"/>
    <xf numFmtId="0" fontId="13" fillId="0" borderId="1" xfId="0" applyFont="1" applyBorder="1" applyAlignment="1">
      <alignment horizontal="left"/>
    </xf>
    <xf numFmtId="0" fontId="13" fillId="0" borderId="7" xfId="2" applyFont="1" applyBorder="1" applyAlignment="1">
      <alignment horizontal="left" vertical="center" wrapText="1"/>
    </xf>
  </cellXfs>
  <cellStyles count="3">
    <cellStyle name="Normal" xfId="0" builtinId="0"/>
    <cellStyle name="Normal 2" xfId="2" xr:uid="{38A40650-8863-4D42-9024-E2064EDF16AA}"/>
    <cellStyle name="Normal 3" xfId="1" xr:uid="{5FFB2D1B-20DE-4391-B39F-77837D0345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>
        <c:manualLayout>
          <c:xMode val="edge"/>
          <c:yMode val="edge"/>
          <c:x val="0.1087844270873975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  <a:prstDash val="solid"/>
            </a:ln>
          </c:spPr>
          <c:marker>
            <c:symbol val="none"/>
          </c:marker>
          <c:val>
            <c:numRef>
              <c:f>burdonchart!$B$9:$J$9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2-464B-9C7F-40247AA40883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  <a:prstDash val="solid"/>
            </a:ln>
          </c:spPr>
          <c:marker>
            <c:symbol val="none"/>
          </c:marker>
          <c:val>
            <c:numRef>
              <c:f>burdonchart!$B$10:$J$10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2-464B-9C7F-40247AA40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784515"/>
        <c:axId val="165181748"/>
      </c:lineChart>
      <c:catAx>
        <c:axId val="596784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C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65181748"/>
        <c:crosses val="autoZero"/>
        <c:auto val="1"/>
        <c:lblAlgn val="ctr"/>
        <c:lblOffset val="100"/>
        <c:noMultiLvlLbl val="1"/>
      </c:catAx>
      <c:valAx>
        <c:axId val="165181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C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5967845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850106</xdr:colOff>
      <xdr:row>7</xdr:row>
      <xdr:rowOff>196691</xdr:rowOff>
    </xdr:from>
    <xdr:ext cx="8048625" cy="4933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5"/>
  <sheetViews>
    <sheetView workbookViewId="0">
      <selection activeCell="A5" sqref="A5"/>
    </sheetView>
  </sheetViews>
  <sheetFormatPr baseColWidth="10" defaultColWidth="12.6640625" defaultRowHeight="15" customHeight="1" x14ac:dyDescent="0.3"/>
  <cols>
    <col min="1" max="1" width="12.44140625" style="44" customWidth="1"/>
    <col min="2" max="2" width="37.88671875" style="44" customWidth="1"/>
    <col min="3" max="3" width="16.88671875" style="44" customWidth="1"/>
    <col min="4" max="4" width="53.44140625" style="44" customWidth="1"/>
    <col min="5" max="5" width="40.44140625" style="44" customWidth="1"/>
    <col min="6" max="6" width="20.21875" style="44" customWidth="1"/>
    <col min="7" max="26" width="12.44140625" style="44" customWidth="1"/>
    <col min="27" max="16384" width="12.6640625" style="44"/>
  </cols>
  <sheetData>
    <row r="1" spans="1:8" ht="15.75" customHeight="1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</row>
    <row r="2" spans="1:8" ht="18" customHeight="1" x14ac:dyDescent="0.3">
      <c r="A2" s="27" t="s">
        <v>8</v>
      </c>
      <c r="B2" s="26" t="s">
        <v>9</v>
      </c>
      <c r="C2" s="26" t="s">
        <v>10</v>
      </c>
      <c r="D2" s="26" t="s">
        <v>11</v>
      </c>
      <c r="E2" s="26" t="s">
        <v>12</v>
      </c>
      <c r="F2" s="45" t="s">
        <v>105</v>
      </c>
      <c r="G2" s="26" t="s">
        <v>13</v>
      </c>
      <c r="H2" s="26" t="s">
        <v>14</v>
      </c>
    </row>
    <row r="3" spans="1:8" ht="31.5" customHeight="1" x14ac:dyDescent="0.3">
      <c r="A3" s="41" t="s">
        <v>15</v>
      </c>
      <c r="B3" s="42" t="s">
        <v>20</v>
      </c>
      <c r="C3" s="42" t="s">
        <v>10</v>
      </c>
      <c r="D3" s="43" t="s">
        <v>21</v>
      </c>
      <c r="E3" s="43" t="s">
        <v>22</v>
      </c>
      <c r="F3" s="46" t="s">
        <v>106</v>
      </c>
      <c r="G3" s="26" t="s">
        <v>13</v>
      </c>
      <c r="H3" s="26" t="s">
        <v>14</v>
      </c>
    </row>
    <row r="4" spans="1:8" ht="34.799999999999997" customHeight="1" x14ac:dyDescent="0.3">
      <c r="A4" s="41" t="s">
        <v>19</v>
      </c>
      <c r="B4" s="42" t="s">
        <v>16</v>
      </c>
      <c r="C4" s="42" t="s">
        <v>10</v>
      </c>
      <c r="D4" s="43" t="s">
        <v>17</v>
      </c>
      <c r="E4" s="43" t="s">
        <v>18</v>
      </c>
      <c r="F4" s="46" t="s">
        <v>107</v>
      </c>
      <c r="G4" s="26" t="s">
        <v>13</v>
      </c>
      <c r="H4" s="26" t="s">
        <v>14</v>
      </c>
    </row>
    <row r="5" spans="1:8" ht="29.25" customHeight="1" x14ac:dyDescent="0.3">
      <c r="A5" s="41" t="s">
        <v>23</v>
      </c>
      <c r="B5" s="42" t="s">
        <v>24</v>
      </c>
      <c r="C5" s="42" t="s">
        <v>10</v>
      </c>
      <c r="D5" s="43" t="s">
        <v>25</v>
      </c>
      <c r="E5" s="43" t="s">
        <v>26</v>
      </c>
      <c r="F5" s="46" t="s">
        <v>108</v>
      </c>
      <c r="G5" s="26" t="s">
        <v>27</v>
      </c>
      <c r="H5" s="26" t="s">
        <v>14</v>
      </c>
    </row>
    <row r="6" spans="1:8" ht="46.2" customHeight="1" x14ac:dyDescent="0.3">
      <c r="A6" s="41" t="s">
        <v>28</v>
      </c>
      <c r="B6" s="42" t="s">
        <v>29</v>
      </c>
      <c r="C6" s="26" t="s">
        <v>10</v>
      </c>
      <c r="D6" s="43" t="s">
        <v>30</v>
      </c>
      <c r="E6" s="43" t="s">
        <v>31</v>
      </c>
      <c r="F6" s="46" t="s">
        <v>109</v>
      </c>
      <c r="G6" s="26" t="s">
        <v>27</v>
      </c>
      <c r="H6" s="26" t="s">
        <v>14</v>
      </c>
    </row>
    <row r="7" spans="1:8" ht="15.75" customHeight="1" x14ac:dyDescent="0.3"/>
    <row r="8" spans="1:8" ht="15.75" customHeight="1" x14ac:dyDescent="0.3"/>
    <row r="9" spans="1:8" ht="15.75" customHeight="1" x14ac:dyDescent="0.3"/>
    <row r="10" spans="1:8" ht="15.75" customHeight="1" x14ac:dyDescent="0.3"/>
    <row r="11" spans="1:8" ht="15.75" customHeight="1" x14ac:dyDescent="0.3"/>
    <row r="12" spans="1:8" ht="15.75" customHeight="1" x14ac:dyDescent="0.3"/>
    <row r="13" spans="1:8" ht="15.75" customHeight="1" x14ac:dyDescent="0.3"/>
    <row r="14" spans="1:8" ht="15.75" customHeight="1" x14ac:dyDescent="0.3"/>
    <row r="15" spans="1:8" ht="15.75" customHeight="1" x14ac:dyDescent="0.3"/>
    <row r="16" spans="1:8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70"/>
  <sheetViews>
    <sheetView tabSelected="1" zoomScale="123" zoomScaleNormal="123" workbookViewId="0">
      <selection activeCell="C8" sqref="C8:F8"/>
    </sheetView>
  </sheetViews>
  <sheetFormatPr baseColWidth="10" defaultColWidth="12.6640625" defaultRowHeight="15" customHeight="1" x14ac:dyDescent="0.25"/>
  <cols>
    <col min="1" max="2" width="12.44140625" customWidth="1"/>
    <col min="3" max="3" width="63.88671875" customWidth="1"/>
    <col min="4" max="4" width="46.33203125" customWidth="1"/>
    <col min="5" max="6" width="56.109375" customWidth="1"/>
    <col min="7" max="7" width="29" customWidth="1"/>
    <col min="8" max="26" width="12.44140625" customWidth="1"/>
  </cols>
  <sheetData>
    <row r="1" spans="1:26" ht="15.75" customHeight="1" x14ac:dyDescent="0.25"/>
    <row r="2" spans="1:26" ht="15.75" customHeight="1" x14ac:dyDescent="0.25"/>
    <row r="3" spans="1:26" ht="15.75" customHeight="1" x14ac:dyDescent="0.3">
      <c r="B3" s="2" t="s">
        <v>0</v>
      </c>
      <c r="C3" s="2" t="s">
        <v>1</v>
      </c>
      <c r="D3" s="2" t="s">
        <v>2</v>
      </c>
      <c r="E3" s="2" t="s">
        <v>32</v>
      </c>
      <c r="F3" s="2" t="s">
        <v>33</v>
      </c>
      <c r="G3" s="2" t="s">
        <v>5</v>
      </c>
      <c r="H3" s="2" t="s">
        <v>34</v>
      </c>
      <c r="I3" s="2" t="s">
        <v>35</v>
      </c>
    </row>
    <row r="4" spans="1:26" ht="15.75" customHeight="1" x14ac:dyDescent="0.3">
      <c r="B4" s="8" t="s">
        <v>8</v>
      </c>
      <c r="C4" s="24" t="s">
        <v>100</v>
      </c>
      <c r="D4" s="8" t="s">
        <v>10</v>
      </c>
      <c r="E4" s="8" t="s">
        <v>36</v>
      </c>
      <c r="F4" s="8" t="s">
        <v>37</v>
      </c>
      <c r="G4" s="8" t="s">
        <v>38</v>
      </c>
      <c r="H4" s="8" t="s">
        <v>13</v>
      </c>
      <c r="I4" s="8" t="s">
        <v>39</v>
      </c>
    </row>
    <row r="5" spans="1:26" ht="15.75" customHeight="1" x14ac:dyDescent="0.3">
      <c r="B5" s="1"/>
      <c r="C5" s="20" t="s">
        <v>40</v>
      </c>
      <c r="D5" s="18"/>
      <c r="E5" s="18"/>
      <c r="F5" s="17"/>
      <c r="G5" s="3" t="s">
        <v>41</v>
      </c>
      <c r="H5" s="1"/>
      <c r="I5" s="3" t="s">
        <v>42</v>
      </c>
    </row>
    <row r="6" spans="1:26" ht="15.75" customHeight="1" x14ac:dyDescent="0.3">
      <c r="B6" s="4" t="s">
        <v>43</v>
      </c>
      <c r="C6" s="21" t="s">
        <v>93</v>
      </c>
      <c r="D6" s="18"/>
      <c r="E6" s="18"/>
      <c r="F6" s="17"/>
      <c r="G6" s="1" t="s">
        <v>63</v>
      </c>
      <c r="H6" s="1"/>
      <c r="I6" s="22">
        <v>2</v>
      </c>
    </row>
    <row r="7" spans="1:26" ht="15.75" customHeight="1" x14ac:dyDescent="0.3">
      <c r="B7" s="4" t="s">
        <v>45</v>
      </c>
      <c r="C7" s="21" t="s">
        <v>46</v>
      </c>
      <c r="D7" s="18"/>
      <c r="E7" s="18"/>
      <c r="F7" s="17"/>
      <c r="G7" s="1" t="s">
        <v>63</v>
      </c>
      <c r="H7" s="1"/>
      <c r="I7" s="22">
        <v>2</v>
      </c>
    </row>
    <row r="8" spans="1:26" ht="15.75" customHeight="1" x14ac:dyDescent="0.3">
      <c r="B8" s="4" t="s">
        <v>47</v>
      </c>
      <c r="C8" s="21" t="s">
        <v>48</v>
      </c>
      <c r="D8" s="18"/>
      <c r="E8" s="18"/>
      <c r="F8" s="17"/>
      <c r="G8" s="1" t="s">
        <v>63</v>
      </c>
      <c r="H8" s="1"/>
      <c r="I8" s="23">
        <v>2</v>
      </c>
    </row>
    <row r="9" spans="1:26" ht="15.75" customHeight="1" x14ac:dyDescent="0.3">
      <c r="B9" s="5" t="s">
        <v>49</v>
      </c>
      <c r="C9" s="19" t="s">
        <v>50</v>
      </c>
      <c r="D9" s="18"/>
      <c r="E9" s="18"/>
      <c r="F9" s="17"/>
      <c r="G9" s="1" t="s">
        <v>63</v>
      </c>
      <c r="H9" s="2"/>
      <c r="I9" s="22">
        <v>2</v>
      </c>
    </row>
    <row r="10" spans="1:26" ht="15.75" customHeight="1" x14ac:dyDescent="0.3">
      <c r="B10" s="24" t="s">
        <v>15</v>
      </c>
      <c r="C10" s="24" t="s">
        <v>101</v>
      </c>
      <c r="D10" s="8" t="s">
        <v>10</v>
      </c>
      <c r="E10" s="8" t="s">
        <v>21</v>
      </c>
      <c r="F10" s="8" t="s">
        <v>22</v>
      </c>
      <c r="G10" s="8" t="s">
        <v>59</v>
      </c>
      <c r="H10" s="8" t="s">
        <v>13</v>
      </c>
      <c r="I10" s="8" t="s">
        <v>60</v>
      </c>
    </row>
    <row r="11" spans="1:26" ht="15.75" customHeight="1" x14ac:dyDescent="0.3">
      <c r="A11" s="9"/>
      <c r="B11" s="1"/>
      <c r="C11" s="20" t="s">
        <v>40</v>
      </c>
      <c r="D11" s="18"/>
      <c r="E11" s="18"/>
      <c r="F11" s="17"/>
      <c r="G11" s="3" t="s">
        <v>41</v>
      </c>
      <c r="H11" s="1"/>
      <c r="I11" s="3" t="s">
        <v>42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 x14ac:dyDescent="0.3">
      <c r="B12" s="26" t="s">
        <v>53</v>
      </c>
      <c r="C12" s="28" t="s">
        <v>62</v>
      </c>
      <c r="D12" s="29"/>
      <c r="E12" s="29"/>
      <c r="F12" s="30"/>
      <c r="G12" s="4" t="s">
        <v>77</v>
      </c>
      <c r="H12" s="1"/>
      <c r="I12" s="1">
        <v>2</v>
      </c>
    </row>
    <row r="13" spans="1:26" ht="15.75" customHeight="1" x14ac:dyDescent="0.3">
      <c r="B13" s="26" t="s">
        <v>54</v>
      </c>
      <c r="C13" s="28" t="s">
        <v>65</v>
      </c>
      <c r="D13" s="29"/>
      <c r="E13" s="29"/>
      <c r="F13" s="30"/>
      <c r="G13" s="4" t="s">
        <v>77</v>
      </c>
      <c r="H13" s="1"/>
      <c r="I13" s="1">
        <v>1</v>
      </c>
    </row>
    <row r="14" spans="1:26" ht="15.75" customHeight="1" x14ac:dyDescent="0.3">
      <c r="B14" s="26" t="s">
        <v>55</v>
      </c>
      <c r="C14" s="28" t="s">
        <v>67</v>
      </c>
      <c r="D14" s="29"/>
      <c r="E14" s="29"/>
      <c r="F14" s="30"/>
      <c r="G14" s="4" t="s">
        <v>77</v>
      </c>
      <c r="H14" s="1"/>
      <c r="I14" s="1">
        <v>2</v>
      </c>
    </row>
    <row r="15" spans="1:26" ht="15.75" customHeight="1" x14ac:dyDescent="0.3">
      <c r="B15" s="26" t="s">
        <v>56</v>
      </c>
      <c r="C15" s="28" t="s">
        <v>69</v>
      </c>
      <c r="D15" s="29"/>
      <c r="E15" s="29"/>
      <c r="F15" s="30"/>
      <c r="G15" s="4" t="s">
        <v>77</v>
      </c>
      <c r="H15" s="1"/>
      <c r="I15" s="1">
        <v>2</v>
      </c>
    </row>
    <row r="16" spans="1:26" ht="15.75" customHeight="1" x14ac:dyDescent="0.3">
      <c r="B16" s="25" t="s">
        <v>19</v>
      </c>
      <c r="C16" s="24" t="s">
        <v>102</v>
      </c>
      <c r="D16" s="6" t="s">
        <v>10</v>
      </c>
      <c r="E16" s="6" t="s">
        <v>51</v>
      </c>
      <c r="F16" s="6" t="s">
        <v>52</v>
      </c>
      <c r="G16" s="7"/>
      <c r="H16" s="8" t="s">
        <v>13</v>
      </c>
      <c r="I16" s="8" t="s">
        <v>39</v>
      </c>
    </row>
    <row r="17" spans="1:26" ht="15.75" customHeight="1" x14ac:dyDescent="0.3">
      <c r="B17" s="1"/>
      <c r="C17" s="20" t="s">
        <v>40</v>
      </c>
      <c r="D17" s="18"/>
      <c r="E17" s="18"/>
      <c r="F17" s="17"/>
      <c r="G17" s="3" t="s">
        <v>41</v>
      </c>
      <c r="H17" s="1"/>
      <c r="I17" s="3" t="s">
        <v>42</v>
      </c>
    </row>
    <row r="18" spans="1:26" ht="15.75" customHeight="1" x14ac:dyDescent="0.3">
      <c r="B18" s="26" t="s">
        <v>61</v>
      </c>
      <c r="C18" s="31" t="s">
        <v>94</v>
      </c>
      <c r="D18" s="32"/>
      <c r="E18" s="32"/>
      <c r="F18" s="33"/>
      <c r="G18" s="1" t="s">
        <v>71</v>
      </c>
      <c r="H18" s="1"/>
      <c r="I18" s="1">
        <v>2</v>
      </c>
    </row>
    <row r="19" spans="1:26" ht="15.75" customHeight="1" x14ac:dyDescent="0.3">
      <c r="B19" s="26" t="s">
        <v>64</v>
      </c>
      <c r="C19" s="31" t="s">
        <v>95</v>
      </c>
      <c r="D19" s="32"/>
      <c r="E19" s="32"/>
      <c r="F19" s="33"/>
      <c r="G19" s="1" t="s">
        <v>71</v>
      </c>
      <c r="H19" s="1"/>
      <c r="I19" s="1">
        <v>2</v>
      </c>
    </row>
    <row r="20" spans="1:26" ht="15.75" customHeight="1" x14ac:dyDescent="0.3">
      <c r="B20" s="26" t="s">
        <v>66</v>
      </c>
      <c r="C20" s="31" t="s">
        <v>96</v>
      </c>
      <c r="D20" s="32"/>
      <c r="E20" s="32"/>
      <c r="F20" s="33"/>
      <c r="G20" s="1" t="s">
        <v>71</v>
      </c>
      <c r="H20" s="1"/>
      <c r="I20" s="1">
        <v>2</v>
      </c>
    </row>
    <row r="21" spans="1:26" ht="15.75" customHeight="1" x14ac:dyDescent="0.3">
      <c r="B21" s="26" t="s">
        <v>68</v>
      </c>
      <c r="C21" s="28" t="s">
        <v>57</v>
      </c>
      <c r="D21" s="29"/>
      <c r="E21" s="29"/>
      <c r="F21" s="30"/>
      <c r="G21" s="1" t="s">
        <v>71</v>
      </c>
      <c r="H21" s="1"/>
      <c r="I21" s="1">
        <v>1</v>
      </c>
    </row>
    <row r="22" spans="1:26" ht="15.75" customHeight="1" x14ac:dyDescent="0.3">
      <c r="B22" s="8" t="s">
        <v>23</v>
      </c>
      <c r="C22" s="24" t="s">
        <v>103</v>
      </c>
      <c r="D22" s="8" t="s">
        <v>10</v>
      </c>
      <c r="E22" s="8" t="s">
        <v>25</v>
      </c>
      <c r="F22" s="8" t="s">
        <v>26</v>
      </c>
      <c r="G22" s="8" t="s">
        <v>59</v>
      </c>
      <c r="H22" s="8" t="s">
        <v>13</v>
      </c>
      <c r="I22" s="8" t="s">
        <v>60</v>
      </c>
    </row>
    <row r="23" spans="1:26" ht="15.75" customHeight="1" x14ac:dyDescent="0.3">
      <c r="A23" s="9"/>
      <c r="B23" s="1"/>
      <c r="C23" s="20" t="s">
        <v>40</v>
      </c>
      <c r="D23" s="18"/>
      <c r="E23" s="18"/>
      <c r="F23" s="17"/>
      <c r="G23" s="3" t="s">
        <v>41</v>
      </c>
      <c r="H23" s="1"/>
      <c r="I23" s="3" t="s">
        <v>42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3">
      <c r="B24" s="1" t="s">
        <v>70</v>
      </c>
      <c r="C24" s="31" t="s">
        <v>97</v>
      </c>
      <c r="D24" s="32"/>
      <c r="E24" s="32"/>
      <c r="F24" s="33"/>
      <c r="G24" s="4" t="s">
        <v>44</v>
      </c>
      <c r="H24" s="1"/>
      <c r="I24" s="1">
        <v>2</v>
      </c>
    </row>
    <row r="25" spans="1:26" ht="15.75" customHeight="1" x14ac:dyDescent="0.3">
      <c r="B25" s="1" t="s">
        <v>72</v>
      </c>
      <c r="C25" s="28" t="s">
        <v>73</v>
      </c>
      <c r="D25" s="29"/>
      <c r="E25" s="29"/>
      <c r="F25" s="30"/>
      <c r="G25" s="4" t="s">
        <v>44</v>
      </c>
      <c r="H25" s="1"/>
      <c r="I25" s="1">
        <v>2</v>
      </c>
    </row>
    <row r="26" spans="1:26" ht="15.75" customHeight="1" x14ac:dyDescent="0.3">
      <c r="B26" s="1" t="s">
        <v>74</v>
      </c>
      <c r="C26" s="28" t="s">
        <v>75</v>
      </c>
      <c r="D26" s="29"/>
      <c r="E26" s="29"/>
      <c r="F26" s="30"/>
      <c r="G26" s="4" t="s">
        <v>44</v>
      </c>
      <c r="H26" s="1"/>
      <c r="I26" s="1">
        <v>2</v>
      </c>
    </row>
    <row r="27" spans="1:26" ht="15.75" customHeight="1" x14ac:dyDescent="0.3">
      <c r="B27" s="6" t="s">
        <v>28</v>
      </c>
      <c r="C27" s="25" t="s">
        <v>104</v>
      </c>
      <c r="D27" s="6" t="s">
        <v>10</v>
      </c>
      <c r="E27" s="6" t="s">
        <v>30</v>
      </c>
      <c r="F27" s="6" t="s">
        <v>31</v>
      </c>
      <c r="G27" s="6" t="s">
        <v>59</v>
      </c>
      <c r="H27" s="6" t="s">
        <v>27</v>
      </c>
      <c r="I27" s="6" t="s">
        <v>60</v>
      </c>
    </row>
    <row r="28" spans="1:26" ht="15.75" customHeight="1" x14ac:dyDescent="0.3">
      <c r="A28" s="9"/>
      <c r="B28" s="1"/>
      <c r="C28" s="20" t="s">
        <v>40</v>
      </c>
      <c r="D28" s="18"/>
      <c r="E28" s="18"/>
      <c r="F28" s="17"/>
      <c r="G28" s="3" t="s">
        <v>41</v>
      </c>
      <c r="H28" s="1"/>
      <c r="I28" s="3" t="s">
        <v>42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3">
      <c r="B29" s="4" t="s">
        <v>76</v>
      </c>
      <c r="C29" s="34" t="s">
        <v>98</v>
      </c>
      <c r="D29" s="35"/>
      <c r="E29" s="35"/>
      <c r="F29" s="36"/>
      <c r="G29" s="1" t="s">
        <v>71</v>
      </c>
      <c r="H29" s="4"/>
      <c r="I29" s="1">
        <v>2</v>
      </c>
    </row>
    <row r="30" spans="1:26" ht="15.75" customHeight="1" x14ac:dyDescent="0.3">
      <c r="B30" s="4" t="s">
        <v>78</v>
      </c>
      <c r="C30" s="34" t="s">
        <v>99</v>
      </c>
      <c r="D30" s="35"/>
      <c r="E30" s="35"/>
      <c r="F30" s="36"/>
      <c r="G30" s="1" t="s">
        <v>71</v>
      </c>
      <c r="H30" s="4"/>
      <c r="I30" s="1">
        <v>1</v>
      </c>
    </row>
    <row r="31" spans="1:26" ht="15.75" customHeight="1" x14ac:dyDescent="0.3">
      <c r="B31" s="4" t="s">
        <v>79</v>
      </c>
      <c r="C31" s="37" t="s">
        <v>80</v>
      </c>
      <c r="D31" s="38"/>
      <c r="E31" s="38"/>
      <c r="F31" s="39"/>
      <c r="G31" s="1" t="s">
        <v>71</v>
      </c>
      <c r="H31" s="4"/>
      <c r="I31" s="1">
        <v>2</v>
      </c>
    </row>
    <row r="32" spans="1:26" ht="15.75" customHeight="1" x14ac:dyDescent="0.3">
      <c r="B32" s="4" t="s">
        <v>81</v>
      </c>
      <c r="C32" s="37" t="s">
        <v>82</v>
      </c>
      <c r="D32" s="38"/>
      <c r="E32" s="38"/>
      <c r="F32" s="39"/>
      <c r="G32" s="1" t="s">
        <v>71</v>
      </c>
      <c r="H32" s="4"/>
      <c r="I32" s="1">
        <v>2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</sheetData>
  <mergeCells count="24">
    <mergeCell ref="C30:F30"/>
    <mergeCell ref="C31:F31"/>
    <mergeCell ref="C32:F32"/>
    <mergeCell ref="C20:F20"/>
    <mergeCell ref="C21:F21"/>
    <mergeCell ref="C25:F25"/>
    <mergeCell ref="C26:F26"/>
    <mergeCell ref="C29:F29"/>
    <mergeCell ref="C7:F7"/>
    <mergeCell ref="C24:F24"/>
    <mergeCell ref="C11:F11"/>
    <mergeCell ref="C12:F12"/>
    <mergeCell ref="C5:F5"/>
    <mergeCell ref="C28:F28"/>
    <mergeCell ref="C6:F6"/>
    <mergeCell ref="C23:F23"/>
    <mergeCell ref="C8:F8"/>
    <mergeCell ref="C13:F13"/>
    <mergeCell ref="C14:F14"/>
    <mergeCell ref="C15:F15"/>
    <mergeCell ref="C18:F18"/>
    <mergeCell ref="C19:F19"/>
    <mergeCell ref="C9:F9"/>
    <mergeCell ref="C17:F17"/>
  </mergeCells>
  <phoneticPr fontId="15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98"/>
  <sheetViews>
    <sheetView zoomScale="64" workbookViewId="0">
      <selection activeCell="G33" sqref="G33"/>
    </sheetView>
  </sheetViews>
  <sheetFormatPr baseColWidth="10" defaultColWidth="12.6640625" defaultRowHeight="15" customHeight="1" x14ac:dyDescent="0.25"/>
  <cols>
    <col min="1" max="1" width="12.44140625" customWidth="1"/>
    <col min="2" max="2" width="24.77734375" customWidth="1"/>
    <col min="3" max="3" width="12.44140625" customWidth="1"/>
    <col min="4" max="4" width="11.109375" customWidth="1"/>
    <col min="5" max="26" width="12.44140625" customWidth="1"/>
  </cols>
  <sheetData>
    <row r="1" spans="1:11" ht="15.75" customHeight="1" x14ac:dyDescent="0.25"/>
    <row r="2" spans="1:11" ht="15.75" customHeight="1" x14ac:dyDescent="0.25"/>
    <row r="3" spans="1:11" ht="15.75" customHeight="1" x14ac:dyDescent="0.25">
      <c r="B3" s="10"/>
      <c r="C3" s="10" t="s">
        <v>42</v>
      </c>
      <c r="D3" s="9" t="s">
        <v>89</v>
      </c>
      <c r="E3" s="9" t="s">
        <v>88</v>
      </c>
      <c r="F3" s="9" t="s">
        <v>87</v>
      </c>
      <c r="G3" s="9" t="s">
        <v>86</v>
      </c>
      <c r="H3" s="9" t="s">
        <v>85</v>
      </c>
      <c r="I3" s="9" t="s">
        <v>84</v>
      </c>
      <c r="J3" s="9" t="s">
        <v>83</v>
      </c>
      <c r="K3" s="10" t="s">
        <v>90</v>
      </c>
    </row>
    <row r="4" spans="1:11" ht="15.75" customHeight="1" x14ac:dyDescent="0.25">
      <c r="B4" s="11" t="s">
        <v>43</v>
      </c>
      <c r="C4" s="12">
        <v>2</v>
      </c>
      <c r="D4" s="11">
        <v>1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3">
        <f>SUM(D4:J4)</f>
        <v>2</v>
      </c>
    </row>
    <row r="5" spans="1:11" ht="15.75" customHeight="1" x14ac:dyDescent="0.25">
      <c r="B5" s="11" t="s">
        <v>45</v>
      </c>
      <c r="C5" s="12">
        <v>2</v>
      </c>
      <c r="D5" s="11">
        <v>0</v>
      </c>
      <c r="E5" s="11">
        <v>2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3">
        <f t="shared" ref="K5:K23" si="0">SUM(D5:J5)</f>
        <v>2</v>
      </c>
    </row>
    <row r="6" spans="1:11" ht="15.75" customHeight="1" x14ac:dyDescent="0.25">
      <c r="A6" s="10"/>
      <c r="B6" s="11" t="s">
        <v>47</v>
      </c>
      <c r="C6" s="12">
        <v>2</v>
      </c>
      <c r="D6" s="11">
        <v>0</v>
      </c>
      <c r="E6" s="11">
        <v>2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3">
        <f t="shared" si="0"/>
        <v>2</v>
      </c>
    </row>
    <row r="7" spans="1:11" ht="15.75" customHeight="1" x14ac:dyDescent="0.25">
      <c r="A7" s="10"/>
      <c r="B7" s="11" t="s">
        <v>49</v>
      </c>
      <c r="C7" s="12">
        <v>2</v>
      </c>
      <c r="D7" s="11">
        <v>0</v>
      </c>
      <c r="E7" s="11">
        <v>2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3">
        <f t="shared" si="0"/>
        <v>2</v>
      </c>
    </row>
    <row r="8" spans="1:11" ht="15.75" customHeight="1" x14ac:dyDescent="0.25">
      <c r="B8" s="11" t="s">
        <v>53</v>
      </c>
      <c r="C8" s="12">
        <v>2</v>
      </c>
      <c r="D8" s="11">
        <v>0</v>
      </c>
      <c r="E8" s="11">
        <v>0</v>
      </c>
      <c r="F8" s="11">
        <v>2</v>
      </c>
      <c r="G8" s="11">
        <v>0</v>
      </c>
      <c r="H8" s="11">
        <v>0</v>
      </c>
      <c r="I8" s="11">
        <v>0</v>
      </c>
      <c r="J8" s="11">
        <v>0</v>
      </c>
      <c r="K8" s="13">
        <f t="shared" si="0"/>
        <v>2</v>
      </c>
    </row>
    <row r="9" spans="1:11" ht="15.75" customHeight="1" x14ac:dyDescent="0.25">
      <c r="B9" s="11" t="s">
        <v>54</v>
      </c>
      <c r="C9" s="12">
        <v>2</v>
      </c>
      <c r="D9" s="11">
        <v>0</v>
      </c>
      <c r="E9" s="11">
        <v>0</v>
      </c>
      <c r="F9" s="11">
        <v>2</v>
      </c>
      <c r="G9" s="11">
        <v>0</v>
      </c>
      <c r="H9" s="11">
        <v>0</v>
      </c>
      <c r="I9" s="11">
        <v>0</v>
      </c>
      <c r="J9" s="11">
        <v>0</v>
      </c>
      <c r="K9" s="13">
        <f t="shared" si="0"/>
        <v>2</v>
      </c>
    </row>
    <row r="10" spans="1:11" ht="16.8" customHeight="1" x14ac:dyDescent="0.25">
      <c r="B10" s="11" t="s">
        <v>55</v>
      </c>
      <c r="C10" s="12">
        <v>2</v>
      </c>
      <c r="D10" s="11">
        <v>0</v>
      </c>
      <c r="E10" s="11">
        <v>0</v>
      </c>
      <c r="F10" s="11">
        <v>2</v>
      </c>
      <c r="G10" s="11">
        <v>0</v>
      </c>
      <c r="H10" s="11">
        <v>0</v>
      </c>
      <c r="I10" s="11">
        <v>0</v>
      </c>
      <c r="J10" s="11">
        <v>0</v>
      </c>
      <c r="K10" s="13">
        <f t="shared" si="0"/>
        <v>2</v>
      </c>
    </row>
    <row r="11" spans="1:11" ht="15.75" customHeight="1" x14ac:dyDescent="0.25">
      <c r="B11" s="11" t="s">
        <v>56</v>
      </c>
      <c r="C11" s="12">
        <v>1</v>
      </c>
      <c r="D11" s="11">
        <v>0</v>
      </c>
      <c r="E11" s="11">
        <v>0</v>
      </c>
      <c r="F11" s="11">
        <v>1</v>
      </c>
      <c r="G11" s="11">
        <v>0</v>
      </c>
      <c r="H11" s="11">
        <v>0</v>
      </c>
      <c r="I11" s="11">
        <v>0</v>
      </c>
      <c r="J11" s="11">
        <v>0</v>
      </c>
      <c r="K11" s="13">
        <f t="shared" si="0"/>
        <v>1</v>
      </c>
    </row>
    <row r="12" spans="1:11" ht="15.75" customHeight="1" x14ac:dyDescent="0.25">
      <c r="B12" s="11" t="s">
        <v>58</v>
      </c>
      <c r="C12" s="12">
        <v>2</v>
      </c>
      <c r="D12" s="11">
        <v>0</v>
      </c>
      <c r="E12" s="11">
        <v>0</v>
      </c>
      <c r="F12" s="11">
        <v>3</v>
      </c>
      <c r="G12" s="11">
        <v>0</v>
      </c>
      <c r="H12" s="11">
        <v>0</v>
      </c>
      <c r="I12" s="11">
        <v>0</v>
      </c>
      <c r="J12" s="11">
        <v>0</v>
      </c>
      <c r="K12" s="13">
        <f t="shared" si="0"/>
        <v>3</v>
      </c>
    </row>
    <row r="13" spans="1:11" ht="15.75" customHeight="1" x14ac:dyDescent="0.25">
      <c r="B13" s="11" t="s">
        <v>61</v>
      </c>
      <c r="C13" s="12">
        <v>2</v>
      </c>
      <c r="D13" s="11">
        <v>0</v>
      </c>
      <c r="E13" s="11">
        <v>0</v>
      </c>
      <c r="F13" s="11">
        <v>0</v>
      </c>
      <c r="G13">
        <v>0</v>
      </c>
      <c r="H13" s="11">
        <v>0</v>
      </c>
      <c r="I13" s="11">
        <v>0</v>
      </c>
      <c r="J13" s="11">
        <v>0</v>
      </c>
      <c r="K13" s="13">
        <f t="shared" si="0"/>
        <v>0</v>
      </c>
    </row>
    <row r="14" spans="1:11" ht="15.75" customHeight="1" x14ac:dyDescent="0.25">
      <c r="B14" s="11" t="s">
        <v>64</v>
      </c>
      <c r="C14" s="12">
        <v>1</v>
      </c>
      <c r="D14" s="11">
        <v>0</v>
      </c>
      <c r="E14" s="11">
        <v>0</v>
      </c>
      <c r="F14" s="11">
        <v>0</v>
      </c>
      <c r="G14">
        <v>2</v>
      </c>
      <c r="H14" s="11">
        <v>0</v>
      </c>
      <c r="I14" s="11">
        <v>0</v>
      </c>
      <c r="J14" s="11">
        <v>0</v>
      </c>
      <c r="K14" s="13">
        <f t="shared" si="0"/>
        <v>2</v>
      </c>
    </row>
    <row r="15" spans="1:11" ht="15.75" customHeight="1" x14ac:dyDescent="0.25">
      <c r="B15" s="11" t="s">
        <v>66</v>
      </c>
      <c r="C15" s="12">
        <v>2</v>
      </c>
      <c r="D15" s="11">
        <v>0</v>
      </c>
      <c r="E15" s="11">
        <v>0</v>
      </c>
      <c r="F15" s="11">
        <v>0</v>
      </c>
      <c r="G15">
        <v>2</v>
      </c>
      <c r="H15" s="11">
        <v>0</v>
      </c>
      <c r="I15" s="11">
        <v>0</v>
      </c>
      <c r="J15" s="11">
        <v>0</v>
      </c>
      <c r="K15" s="13">
        <f t="shared" si="0"/>
        <v>2</v>
      </c>
    </row>
    <row r="16" spans="1:11" ht="15.75" customHeight="1" x14ac:dyDescent="0.25">
      <c r="B16" s="11" t="s">
        <v>68</v>
      </c>
      <c r="C16" s="12">
        <v>2</v>
      </c>
      <c r="D16" s="11">
        <v>0</v>
      </c>
      <c r="E16" s="11">
        <v>0</v>
      </c>
      <c r="F16" s="11">
        <v>0</v>
      </c>
      <c r="G16">
        <v>2</v>
      </c>
      <c r="H16" s="11">
        <v>0</v>
      </c>
      <c r="I16" s="11">
        <v>0</v>
      </c>
      <c r="J16" s="11">
        <v>0</v>
      </c>
      <c r="K16" s="13">
        <f t="shared" si="0"/>
        <v>2</v>
      </c>
    </row>
    <row r="17" spans="2:11" ht="15.75" customHeight="1" x14ac:dyDescent="0.25">
      <c r="B17" s="11" t="s">
        <v>70</v>
      </c>
      <c r="C17" s="12">
        <v>2</v>
      </c>
      <c r="D17" s="11">
        <v>0</v>
      </c>
      <c r="E17" s="11">
        <v>0</v>
      </c>
      <c r="F17">
        <v>0</v>
      </c>
      <c r="G17" s="11">
        <v>0</v>
      </c>
      <c r="H17" s="11">
        <v>0</v>
      </c>
      <c r="I17" s="11">
        <v>0</v>
      </c>
      <c r="J17" s="11">
        <v>0</v>
      </c>
      <c r="K17" s="13">
        <f t="shared" si="0"/>
        <v>0</v>
      </c>
    </row>
    <row r="18" spans="2:11" ht="15.75" customHeight="1" x14ac:dyDescent="0.25">
      <c r="B18" s="11" t="s">
        <v>72</v>
      </c>
      <c r="C18" s="12">
        <v>2</v>
      </c>
      <c r="D18" s="11">
        <v>0</v>
      </c>
      <c r="E18" s="11">
        <v>0</v>
      </c>
      <c r="F18">
        <v>0</v>
      </c>
      <c r="G18" s="11">
        <v>0</v>
      </c>
      <c r="H18" s="11">
        <v>3</v>
      </c>
      <c r="I18" s="11">
        <v>0</v>
      </c>
      <c r="J18" s="11">
        <v>0</v>
      </c>
      <c r="K18" s="13">
        <f t="shared" si="0"/>
        <v>3</v>
      </c>
    </row>
    <row r="19" spans="2:11" ht="15.75" customHeight="1" x14ac:dyDescent="0.25">
      <c r="B19" s="11" t="s">
        <v>74</v>
      </c>
      <c r="C19" s="12">
        <v>2</v>
      </c>
      <c r="D19" s="11">
        <v>0</v>
      </c>
      <c r="E19" s="11">
        <v>0</v>
      </c>
      <c r="F19">
        <v>0</v>
      </c>
      <c r="G19" s="11">
        <v>0</v>
      </c>
      <c r="H19" s="11">
        <v>2</v>
      </c>
      <c r="I19" s="11">
        <v>0</v>
      </c>
      <c r="J19" s="11">
        <v>0</v>
      </c>
      <c r="K19" s="13">
        <f t="shared" si="0"/>
        <v>2</v>
      </c>
    </row>
    <row r="20" spans="2:11" ht="15.75" customHeight="1" x14ac:dyDescent="0.25">
      <c r="B20" s="11" t="s">
        <v>76</v>
      </c>
      <c r="C20" s="12">
        <v>2</v>
      </c>
      <c r="D20" s="11">
        <v>0</v>
      </c>
      <c r="E20">
        <v>0</v>
      </c>
      <c r="F20">
        <v>0</v>
      </c>
      <c r="G20" s="11">
        <v>0</v>
      </c>
      <c r="H20" s="11">
        <v>0</v>
      </c>
      <c r="I20" s="11">
        <v>0</v>
      </c>
      <c r="J20" s="11">
        <v>0</v>
      </c>
      <c r="K20" s="13">
        <f t="shared" si="0"/>
        <v>0</v>
      </c>
    </row>
    <row r="21" spans="2:11" ht="15.75" customHeight="1" x14ac:dyDescent="0.25">
      <c r="B21" s="11" t="s">
        <v>78</v>
      </c>
      <c r="C21" s="12">
        <v>1</v>
      </c>
      <c r="D21" s="11">
        <v>0</v>
      </c>
      <c r="E21">
        <v>0</v>
      </c>
      <c r="F21">
        <v>0</v>
      </c>
      <c r="G21" s="11">
        <v>0</v>
      </c>
      <c r="H21" s="11">
        <v>0</v>
      </c>
      <c r="I21" s="11">
        <v>2</v>
      </c>
      <c r="J21" s="11">
        <v>0</v>
      </c>
      <c r="K21" s="13">
        <f t="shared" si="0"/>
        <v>2</v>
      </c>
    </row>
    <row r="22" spans="2:11" ht="15.75" customHeight="1" x14ac:dyDescent="0.25">
      <c r="B22" s="11" t="s">
        <v>79</v>
      </c>
      <c r="C22" s="12">
        <v>2</v>
      </c>
      <c r="D22" s="11">
        <v>0</v>
      </c>
      <c r="E22">
        <v>0</v>
      </c>
      <c r="F22">
        <v>0</v>
      </c>
      <c r="G22" s="11">
        <v>0</v>
      </c>
      <c r="H22" s="11">
        <v>0</v>
      </c>
      <c r="I22" s="11">
        <v>2</v>
      </c>
      <c r="J22" s="11">
        <v>0</v>
      </c>
      <c r="K22" s="13">
        <f t="shared" si="0"/>
        <v>2</v>
      </c>
    </row>
    <row r="23" spans="2:11" ht="15.75" customHeight="1" x14ac:dyDescent="0.25">
      <c r="B23" s="11" t="s">
        <v>81</v>
      </c>
      <c r="C23" s="12">
        <v>2</v>
      </c>
      <c r="D23" s="11">
        <v>0</v>
      </c>
      <c r="E23">
        <v>0</v>
      </c>
      <c r="F23">
        <v>0</v>
      </c>
      <c r="G23" s="11">
        <v>0</v>
      </c>
      <c r="H23" s="11">
        <v>0</v>
      </c>
      <c r="I23" s="11">
        <v>2</v>
      </c>
      <c r="J23" s="11">
        <v>0</v>
      </c>
      <c r="K23" s="13">
        <f t="shared" si="0"/>
        <v>2</v>
      </c>
    </row>
    <row r="24" spans="2:11" ht="15.75" customHeight="1" x14ac:dyDescent="0.25"/>
    <row r="25" spans="2:11" ht="15.75" customHeight="1" x14ac:dyDescent="0.25"/>
    <row r="26" spans="2:11" ht="15.75" customHeight="1" x14ac:dyDescent="0.3">
      <c r="B26" s="14" t="s">
        <v>91</v>
      </c>
      <c r="C26" s="15">
        <f>SUM(C4:C23)</f>
        <v>37</v>
      </c>
      <c r="D26" s="15">
        <f t="shared" ref="D26:J26" si="1">C26-SUM(D4:D23)</f>
        <v>36</v>
      </c>
      <c r="E26" s="16">
        <f t="shared" si="1"/>
        <v>29</v>
      </c>
      <c r="F26" s="15">
        <f t="shared" si="1"/>
        <v>19</v>
      </c>
      <c r="G26" s="15">
        <f t="shared" si="1"/>
        <v>13</v>
      </c>
      <c r="H26" s="15">
        <f t="shared" si="1"/>
        <v>8</v>
      </c>
      <c r="I26" s="15">
        <f t="shared" si="1"/>
        <v>2</v>
      </c>
      <c r="J26" s="15">
        <f t="shared" si="1"/>
        <v>2</v>
      </c>
    </row>
    <row r="27" spans="2:11" ht="15.75" customHeight="1" x14ac:dyDescent="0.3">
      <c r="B27" s="14" t="s">
        <v>92</v>
      </c>
      <c r="C27" s="15">
        <f>SUM(C4:C23)</f>
        <v>37</v>
      </c>
      <c r="D27" s="15">
        <f>C27-(SUM(C21:C23)/7)</f>
        <v>36.285714285714285</v>
      </c>
      <c r="E27" s="16">
        <f>D27-(SUM(C21:C24)/7)</f>
        <v>35.571428571428569</v>
      </c>
      <c r="F27" s="15">
        <f>E27-(SUM(C21:C24)/7)</f>
        <v>34.857142857142854</v>
      </c>
      <c r="G27" s="15">
        <f>F27-(SUM(C21:C24)/7)</f>
        <v>34.142857142857139</v>
      </c>
      <c r="H27" s="15">
        <f>G27-(SUM(C21:C24)/7)</f>
        <v>33.428571428571423</v>
      </c>
      <c r="I27" s="15">
        <f>H27-(SUM(C21:C24)/7)</f>
        <v>32.714285714285708</v>
      </c>
      <c r="J27" s="15">
        <f>I27-(SUM(C21:C24)/7)</f>
        <v>31.999999999999993</v>
      </c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honeticPr fontId="11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 1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Guaycha</cp:lastModifiedBy>
  <dcterms:created xsi:type="dcterms:W3CDTF">2026-05-29T05:07:42Z</dcterms:created>
  <dcterms:modified xsi:type="dcterms:W3CDTF">2026-06-24T16:14:43Z</dcterms:modified>
</cp:coreProperties>
</file>