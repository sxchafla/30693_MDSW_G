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nine\Downloads\"/>
    </mc:Choice>
  </mc:AlternateContent>
  <xr:revisionPtr revIDLastSave="0" documentId="8_{5520C429-BA64-447D-8076-445CD0FB53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log" sheetId="1" r:id="rId1"/>
    <sheet name="sprint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E10" i="3" s="1"/>
  <c r="F10" i="3" s="1"/>
  <c r="G10" i="3" s="1"/>
  <c r="H10" i="3" s="1"/>
  <c r="I10" i="3" s="1"/>
  <c r="J10" i="3" s="1"/>
  <c r="C10" i="3"/>
  <c r="C9" i="3"/>
  <c r="D9" i="3" s="1"/>
  <c r="E9" i="3" s="1"/>
  <c r="F9" i="3" s="1"/>
  <c r="G9" i="3" s="1"/>
  <c r="H9" i="3" s="1"/>
  <c r="I9" i="3" s="1"/>
  <c r="J9" i="3" s="1"/>
</calcChain>
</file>

<file path=xl/sharedStrings.xml><?xml version="1.0" encoding="utf-8"?>
<sst xmlns="http://schemas.openxmlformats.org/spreadsheetml/2006/main" count="321" uniqueCount="167">
  <si>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</si>
  <si>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</si>
  <si>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</si>
  <si>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</si>
  <si>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</si>
  <si>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</si>
  <si>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</si>
  <si>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</si>
  <si>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</si>
  <si>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</si>
  <si>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</si>
  <si>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</si>
  <si>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</si>
  <si>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 xml:space="preserve">#intentos de ingreso </t>
  </si>
  <si>
    <t>Alta</t>
  </si>
  <si>
    <t>Pendiente</t>
  </si>
  <si>
    <t>REQ002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</si>
  <si>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</si>
  <si>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</si>
  <si>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</si>
  <si>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REQ003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</si>
  <si>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</si>
  <si>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</si>
  <si>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</si>
  <si>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</si>
  <si>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</si>
  <si>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</si>
  <si>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</si>
  <si>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</si>
  <si>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</si>
  <si>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</si>
  <si>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</si>
  <si>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</si>
  <si>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REQ006</t>
  </si>
  <si>
    <t>Gestión Integral de Clientes</t>
  </si>
  <si>
    <t>Registrar, consultar, actualizar y eliminar información de los clientes (CRUD Clientes)</t>
  </si>
  <si>
    <t>Mantener un historial fidedigno y facilitar el seguimiento de las ventas por comprador</t>
  </si>
  <si>
    <t>REQ007</t>
  </si>
  <si>
    <t>Registro de Pedidos Automatizados</t>
  </si>
  <si>
    <t xml:space="preserve">Cliente </t>
  </si>
  <si>
    <t>Procesar y registrar pedidos de manera automatizada vinculando productos y clientes</t>
  </si>
  <si>
    <t>Automatizar el flujo de ventas, reduciendo los tiempos de respuesta y errores manuales</t>
  </si>
  <si>
    <t>REQ008</t>
  </si>
  <si>
    <t>Control Automático de Inventario</t>
  </si>
  <si>
    <t>Actualizar automáticamente el stock disponible en inventario tras cada venta confirmada</t>
  </si>
  <si>
    <t>Erradicar las hojas manuales de control y evitar vender productos sin existencias reales</t>
  </si>
  <si>
    <t>REQ009</t>
  </si>
  <si>
    <t>Consultas e Indicadores en Tiempo Real</t>
  </si>
  <si>
    <t>Visualizar un panel de control integrado con reportes de ventas diarias y alertas de stock bajo</t>
  </si>
  <si>
    <t>Garantizar una toma de decisiones informada basada en el estado real del negocio</t>
  </si>
  <si>
    <t>Necesito</t>
  </si>
  <si>
    <t>así podre...</t>
  </si>
  <si>
    <t>Prioridad</t>
  </si>
  <si>
    <t>Status</t>
  </si>
  <si>
    <t xml:space="preserve">Ingreso al aplicativo 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</si>
  <si>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</si>
  <si>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</si>
  <si>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</si>
  <si>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</si>
  <si>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</si>
  <si>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</si>
  <si>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</si>
  <si>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</si>
  <si>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Crear interfaz de uso en lenguaje JAVA para inicio de sesión y menú principal</t>
  </si>
  <si>
    <t>Janine Cayo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</si>
  <si>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</si>
  <si>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</si>
  <si>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</si>
  <si>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</si>
  <si>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</si>
  <si>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 xml:space="preserve">Realizar las respectivas conexiones en el código </t>
  </si>
  <si>
    <t>Buscar una capsula</t>
  </si>
  <si>
    <t>Buscar una capsula utilizando su numero de serie</t>
  </si>
  <si>
    <t>Consultar de forma inmediata la informacion y existecia en el catalogo</t>
  </si>
  <si>
    <t>REQ002-1</t>
  </si>
  <si>
    <t>Crear una interfaz para la busqueda de numero de serie</t>
  </si>
  <si>
    <t>REQ002-2</t>
  </si>
  <si>
    <t>Implementar un metodo buscarSerie() que ejecute una consulta directa en mongoDB</t>
  </si>
  <si>
    <t>REQ002-3</t>
  </si>
  <si>
    <t>Configurar el numero de serie como indice en MongoDB</t>
  </si>
  <si>
    <t>REQ002-4</t>
  </si>
  <si>
    <t>Realizar las respectivas pruebas para comprobar el buen funcionamiento de la tarea</t>
  </si>
  <si>
    <t>REQ002-5</t>
  </si>
  <si>
    <t>Realizar las respectivas validaciones para evitar el ingreso de datos no deseados y que el porgrama falle</t>
  </si>
  <si>
    <t>#intentos de ingreso</t>
  </si>
  <si>
    <t>Terminado</t>
  </si>
  <si>
    <t>REQ003-1</t>
  </si>
  <si>
    <t>Crear interfaz en JAVA para registrar nuevas cápsulas MPG-CAPS</t>
  </si>
  <si>
    <t>Santiago Chafla</t>
  </si>
  <si>
    <t>REQ003-2</t>
  </si>
  <si>
    <t>Crear la colección en MongoDB para almacenar las cápsulas</t>
  </si>
  <si>
    <t>REQ003-3</t>
  </si>
  <si>
    <t>Realizar la conexión entre JAVA y MongoDB</t>
  </si>
  <si>
    <t>REQ003-4</t>
  </si>
  <si>
    <t>Validar que el número de serie no esté duplicado</t>
  </si>
  <si>
    <t>REQ004-1</t>
  </si>
  <si>
    <t>Crear interfaz en JAVA para buscar y editar cápsulas por número de serie</t>
  </si>
  <si>
    <t>Anthony Guaycha</t>
  </si>
  <si>
    <t>REQ004-2</t>
  </si>
  <si>
    <t>Realizar la conexión entre JAVA y MongoDB para actualizar datos</t>
  </si>
  <si>
    <t>REQ004-3</t>
  </si>
  <si>
    <t>Validar la existencia del número de serie antes de editar</t>
  </si>
  <si>
    <t>REQ005-1</t>
  </si>
  <si>
    <t>Crear interfaz en JAVA para eliminar cápsulas por número de serie</t>
  </si>
  <si>
    <t>Edmir Madrid</t>
  </si>
  <si>
    <t>REQ005-2</t>
  </si>
  <si>
    <t>Implementar método eliminarCapsula() en MongoDB</t>
  </si>
  <si>
    <t>REQ005-3</t>
  </si>
  <si>
    <t>Validar confirmación antes de eliminar registros</t>
  </si>
  <si>
    <t>REQ005-4</t>
  </si>
  <si>
    <t>Realizar pruebas de eliminación y manejo de errores</t>
  </si>
  <si>
    <t>#clientes</t>
  </si>
  <si>
    <t>En proceso</t>
  </si>
  <si>
    <t>REQ006-1</t>
  </si>
  <si>
    <t>Crear interfaz CRUD para gestión de clientes</t>
  </si>
  <si>
    <t>REQ006-2</t>
  </si>
  <si>
    <t>Diseñar colección clientes en MongoDB</t>
  </si>
  <si>
    <t>REQ006-3</t>
  </si>
  <si>
    <t>Implementar métodos registrarCliente(), editarCliente() y eliminarCliente()</t>
  </si>
  <si>
    <t>REQ006-4</t>
  </si>
  <si>
    <t>Validar campos obligatorios y datos duplicados</t>
  </si>
  <si>
    <t>REQ006-5</t>
  </si>
  <si>
    <t>Realizar pruebas funcionales del CRUD clientes</t>
  </si>
  <si>
    <t>Cliente</t>
  </si>
  <si>
    <t>#pedidos</t>
  </si>
  <si>
    <t>REQ007-1</t>
  </si>
  <si>
    <t>Crear interfaz de registro de pedidos</t>
  </si>
  <si>
    <t>REQ007-2</t>
  </si>
  <si>
    <t>Implementar relación entre clientes y productos</t>
  </si>
  <si>
    <t>REQ007-3</t>
  </si>
  <si>
    <t>Registrar automáticamente pedidos en MongoDB</t>
  </si>
  <si>
    <t>REQ007-4</t>
  </si>
  <si>
    <t>Validar disponibilidad de stock antes de confirmar pedidos</t>
  </si>
  <si>
    <t>REQ007-5</t>
  </si>
  <si>
    <t>Realizar pruebas de automatización de pedidos</t>
  </si>
  <si>
    <t>#stock</t>
  </si>
  <si>
    <t>REQ008-1</t>
  </si>
  <si>
    <t>Implementar actualización automática de stock en cada venta</t>
  </si>
  <si>
    <t>REQ008-2</t>
  </si>
  <si>
    <t>Diseñar lógica de control de inventario en JAVA</t>
  </si>
  <si>
    <t>REQ008-3</t>
  </si>
  <si>
    <t>Mostrar alertas cuando el stock sea bajo</t>
  </si>
  <si>
    <t>REQ008-4</t>
  </si>
  <si>
    <t>Validar que no existan cantidades negativas en inventario</t>
  </si>
  <si>
    <t>REQ008-5</t>
  </si>
  <si>
    <t>Realizar pruebas de control automático de inventario</t>
  </si>
  <si>
    <t>#reportes</t>
  </si>
  <si>
    <t>REQ009-1</t>
  </si>
  <si>
    <t>Crear interfaz de panel de control y reportes</t>
  </si>
  <si>
    <t>REQ009-2</t>
  </si>
  <si>
    <t>Implementar consultas de ventas diarias en MongoDB</t>
  </si>
  <si>
    <t>REQ009-3</t>
  </si>
  <si>
    <t>Generar alertas visuales de stock bajo</t>
  </si>
  <si>
    <t>REQ009-4</t>
  </si>
  <si>
    <t>Mostrar indicadores de ventas en tiempo real</t>
  </si>
  <si>
    <t>REQ009-5</t>
  </si>
  <si>
    <t>Realizar pruebas funcionales del panel de control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</si>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</sst>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4472C4"/>
      <name val="Times New Roman"/>
    </font>
    <font>
      <sz val="12"/>
      <color theme="4"/>
      <name val="Times New Roman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Inconsolata"/>
    </font>
    <font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6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2" borderId="1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9" fillId="3" borderId="4" xfId="0" applyFont="1" applyFill="1" applyBorder="1"/>
    <xf numFmtId="0" fontId="9" fillId="4" borderId="4" xfId="0" applyFont="1" applyFill="1" applyBorder="1"/>
    <xf numFmtId="0" fontId="7" fillId="5" borderId="5" xfId="0" applyFont="1" applyFill="1" applyBorder="1"/>
    <xf numFmtId="0" fontId="7" fillId="0" borderId="5" xfId="0" applyFont="1" applyBorder="1"/>
    <xf numFmtId="0" fontId="10" fillId="6" borderId="5" xfId="0" applyFont="1" applyFill="1" applyBorder="1"/>
    <xf numFmtId="0" fontId="0" fillId="0" borderId="0" xfId="0"/>
    <xf numFmtId="0" fontId="3" fillId="0" borderId="1" xfId="0" applyFont="1" applyBorder="1" applyAlignment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1" fillId="0" borderId="1" xfId="0" applyFont="1" applyBorder="1" applyAlignme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5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  <a:prstDash val="solid"/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64B-9C7F-40247AA40883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  <a:prstDash val="solid"/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64B-9C7F-40247AA40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784515"/>
        <c:axId val="165181748"/>
      </c:lineChart>
      <c:catAx>
        <c:axId val="59678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65181748"/>
        <c:crosses val="autoZero"/>
        <c:auto val="1"/>
        <c:lblAlgn val="ctr"/>
        <c:lblOffset val="100"/>
        <c:noMultiLvlLbl val="1"/>
      </c:catAx>
      <c:valAx>
        <c:axId val="165181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EC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96784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11</xdr:row>
      <xdr:rowOff>9525</xdr:rowOff>
    </xdr:from>
    <xdr:ext cx="8048625" cy="4933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/>
  </sheetViews>
  <sheetFormatPr baseColWidth="10" defaultColWidth="12.6328125" defaultRowHeight="15" customHeight="1" x14ac:dyDescent="0.25"/>
  <cols>
    <col min="1" max="1" width="12.453125" style="32" customWidth="1"/>
    <col min="2" max="2" width="34.90625" style="32" customWidth="1"/>
    <col min="3" max="3" width="16.90625" style="32" customWidth="1"/>
    <col min="4" max="4" width="53.453125" style="32" customWidth="1"/>
    <col min="5" max="5" width="40.453125" style="32" customWidth="1"/>
    <col min="6" max="6" width="20.26953125" style="32" customWidth="1"/>
    <col min="7" max="26" width="12.453125" style="32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18" t="s">
        <v>9</v>
      </c>
      <c r="C2" s="18" t="s">
        <v>10</v>
      </c>
      <c r="D2" s="18" t="s">
        <v>11</v>
      </c>
      <c r="E2" s="3" t="s">
        <v>12</v>
      </c>
      <c r="F2" s="18" t="s">
        <v>13</v>
      </c>
      <c r="G2" s="18" t="s">
        <v>14</v>
      </c>
      <c r="H2" s="18" t="s">
        <v>15</v>
      </c>
    </row>
    <row r="3" spans="1:8" ht="28.5" customHeight="1" x14ac:dyDescent="0.35">
      <c r="A3" s="4" t="s">
        <v>16</v>
      </c>
      <c r="B3" s="5" t="s">
        <v>17</v>
      </c>
      <c r="C3" s="5" t="s">
        <v>10</v>
      </c>
      <c r="D3" s="6" t="s">
        <v>18</v>
      </c>
      <c r="E3" s="6" t="s">
        <v>19</v>
      </c>
      <c r="F3" s="18" t="s">
        <v>13</v>
      </c>
      <c r="G3" s="18" t="s">
        <v>14</v>
      </c>
      <c r="H3" s="18" t="s">
        <v>15</v>
      </c>
    </row>
    <row r="4" spans="1:8" ht="31.5" customHeight="1" x14ac:dyDescent="0.35">
      <c r="A4" s="4" t="s">
        <v>20</v>
      </c>
      <c r="B4" s="5" t="s">
        <v>21</v>
      </c>
      <c r="C4" s="5" t="s">
        <v>10</v>
      </c>
      <c r="D4" s="6" t="s">
        <v>22</v>
      </c>
      <c r="E4" s="6" t="s">
        <v>23</v>
      </c>
      <c r="F4" s="18" t="s">
        <v>13</v>
      </c>
      <c r="G4" s="18" t="s">
        <v>14</v>
      </c>
      <c r="H4" s="18" t="s">
        <v>15</v>
      </c>
    </row>
    <row r="5" spans="1:8" ht="29.25" customHeight="1" x14ac:dyDescent="0.35">
      <c r="A5" s="4" t="s">
        <v>24</v>
      </c>
      <c r="B5" s="5" t="s">
        <v>25</v>
      </c>
      <c r="C5" s="5" t="s">
        <v>10</v>
      </c>
      <c r="D5" s="6" t="s">
        <v>26</v>
      </c>
      <c r="E5" s="6" t="s">
        <v>27</v>
      </c>
      <c r="F5" s="18" t="s">
        <v>13</v>
      </c>
      <c r="G5" s="18" t="s">
        <v>28</v>
      </c>
      <c r="H5" s="18" t="s">
        <v>15</v>
      </c>
    </row>
    <row r="6" spans="1:8" ht="36.75" customHeight="1" x14ac:dyDescent="0.35">
      <c r="A6" s="4" t="s">
        <v>29</v>
      </c>
      <c r="B6" s="5" t="s">
        <v>30</v>
      </c>
      <c r="C6" s="18" t="s">
        <v>10</v>
      </c>
      <c r="D6" s="6" t="s">
        <v>31</v>
      </c>
      <c r="E6" s="6" t="s">
        <v>32</v>
      </c>
      <c r="F6" s="18" t="s">
        <v>13</v>
      </c>
      <c r="G6" s="18" t="s">
        <v>28</v>
      </c>
      <c r="H6" s="18" t="s">
        <v>15</v>
      </c>
    </row>
    <row r="7" spans="1:8" ht="33" customHeight="1" x14ac:dyDescent="0.35">
      <c r="A7" s="7" t="s">
        <v>33</v>
      </c>
      <c r="B7" s="5" t="s">
        <v>34</v>
      </c>
      <c r="C7" s="18" t="s">
        <v>10</v>
      </c>
      <c r="D7" s="6" t="s">
        <v>35</v>
      </c>
      <c r="E7" s="6" t="s">
        <v>36</v>
      </c>
      <c r="F7" s="18" t="s">
        <v>13</v>
      </c>
      <c r="G7" s="18" t="s">
        <v>14</v>
      </c>
      <c r="H7" s="18" t="s">
        <v>15</v>
      </c>
    </row>
    <row r="8" spans="1:8" ht="36" customHeight="1" x14ac:dyDescent="0.35">
      <c r="A8" s="4" t="s">
        <v>37</v>
      </c>
      <c r="B8" s="5" t="s">
        <v>38</v>
      </c>
      <c r="C8" s="18" t="s">
        <v>39</v>
      </c>
      <c r="D8" s="6" t="s">
        <v>40</v>
      </c>
      <c r="E8" s="6" t="s">
        <v>41</v>
      </c>
      <c r="F8" s="18" t="s">
        <v>13</v>
      </c>
      <c r="G8" s="18" t="s">
        <v>14</v>
      </c>
      <c r="H8" s="18" t="s">
        <v>15</v>
      </c>
    </row>
    <row r="9" spans="1:8" ht="31.5" customHeight="1" x14ac:dyDescent="0.35">
      <c r="A9" s="7" t="s">
        <v>42</v>
      </c>
      <c r="B9" s="6" t="s">
        <v>43</v>
      </c>
      <c r="C9" s="6" t="s">
        <v>10</v>
      </c>
      <c r="D9" s="6" t="s">
        <v>44</v>
      </c>
      <c r="E9" s="6" t="s">
        <v>45</v>
      </c>
      <c r="F9" s="18" t="s">
        <v>13</v>
      </c>
      <c r="G9" s="18" t="s">
        <v>14</v>
      </c>
      <c r="H9" s="18" t="s">
        <v>15</v>
      </c>
    </row>
    <row r="10" spans="1:8" ht="34.5" customHeight="1" x14ac:dyDescent="0.35">
      <c r="A10" s="7" t="s">
        <v>46</v>
      </c>
      <c r="B10" s="6" t="s">
        <v>47</v>
      </c>
      <c r="C10" s="8" t="s">
        <v>10</v>
      </c>
      <c r="D10" s="6" t="s">
        <v>48</v>
      </c>
      <c r="E10" s="6" t="s">
        <v>49</v>
      </c>
      <c r="F10" s="18" t="s">
        <v>13</v>
      </c>
      <c r="G10" s="18" t="s">
        <v>28</v>
      </c>
      <c r="H10" s="18" t="s">
        <v>15</v>
      </c>
    </row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baseColWidth="10" defaultColWidth="12.6328125" defaultRowHeight="15" customHeight="1" x14ac:dyDescent="0.25"/>
  <cols>
    <col min="1" max="2" width="12.453125" style="32" customWidth="1"/>
    <col min="3" max="3" width="34.6328125" style="32" customWidth="1"/>
    <col min="4" max="4" width="46.36328125" style="32" customWidth="1"/>
    <col min="5" max="6" width="56.08984375" style="32" customWidth="1"/>
    <col min="7" max="7" width="29" style="32" customWidth="1"/>
    <col min="8" max="26" width="12.453125" style="32" customWidth="1"/>
  </cols>
  <sheetData>
    <row r="1" spans="2:9" ht="15.75" customHeight="1" x14ac:dyDescent="0.25"/>
    <row r="2" spans="2:9" ht="15.75" customHeight="1" x14ac:dyDescent="0.25"/>
    <row r="3" spans="2:9" ht="15.75" customHeight="1" x14ac:dyDescent="0.3">
      <c r="B3" s="9" t="s">
        <v>0</v>
      </c>
      <c r="C3" s="9" t="s">
        <v>1</v>
      </c>
      <c r="D3" s="9" t="s">
        <v>2</v>
      </c>
      <c r="E3" s="9" t="s">
        <v>50</v>
      </c>
      <c r="F3" s="9" t="s">
        <v>51</v>
      </c>
      <c r="G3" s="9" t="s">
        <v>5</v>
      </c>
      <c r="H3" s="9" t="s">
        <v>52</v>
      </c>
      <c r="I3" s="9" t="s">
        <v>53</v>
      </c>
    </row>
    <row r="4" spans="2:9" ht="15.75" customHeight="1" x14ac:dyDescent="0.35">
      <c r="B4" s="17" t="s">
        <v>8</v>
      </c>
      <c r="C4" s="17" t="s">
        <v>54</v>
      </c>
      <c r="D4" s="17" t="s">
        <v>10</v>
      </c>
      <c r="E4" s="17" t="s">
        <v>55</v>
      </c>
      <c r="F4" s="17" t="s">
        <v>56</v>
      </c>
      <c r="G4" s="17" t="s">
        <v>57</v>
      </c>
      <c r="H4" s="17" t="s">
        <v>14</v>
      </c>
      <c r="I4" s="17" t="s">
        <v>58</v>
      </c>
    </row>
    <row r="5" spans="2:9" ht="15.75" customHeight="1" x14ac:dyDescent="0.35">
      <c r="B5" s="18"/>
      <c r="C5" s="38" t="s">
        <v>59</v>
      </c>
      <c r="D5" s="34"/>
      <c r="E5" s="34"/>
      <c r="F5" s="35"/>
      <c r="G5" s="10" t="s">
        <v>60</v>
      </c>
      <c r="H5" s="18"/>
      <c r="I5" s="10" t="s">
        <v>61</v>
      </c>
    </row>
    <row r="6" spans="2:9" ht="15.75" customHeight="1" x14ac:dyDescent="0.35">
      <c r="B6" s="11" t="s">
        <v>62</v>
      </c>
      <c r="C6" s="36" t="s">
        <v>63</v>
      </c>
      <c r="D6" s="34"/>
      <c r="E6" s="34"/>
      <c r="F6" s="35"/>
      <c r="G6" s="18" t="s">
        <v>64</v>
      </c>
      <c r="H6" s="18"/>
      <c r="I6" s="12">
        <v>7</v>
      </c>
    </row>
    <row r="7" spans="2:9" ht="15.75" customHeight="1" x14ac:dyDescent="0.35">
      <c r="B7" s="11" t="s">
        <v>65</v>
      </c>
      <c r="C7" s="36" t="s">
        <v>66</v>
      </c>
      <c r="D7" s="34"/>
      <c r="E7" s="34"/>
      <c r="F7" s="35"/>
      <c r="G7" s="18" t="s">
        <v>64</v>
      </c>
      <c r="H7" s="18"/>
      <c r="I7" s="12">
        <v>2</v>
      </c>
    </row>
    <row r="8" spans="2:9" ht="15.75" customHeight="1" x14ac:dyDescent="0.35">
      <c r="B8" s="11" t="s">
        <v>67</v>
      </c>
      <c r="C8" s="36" t="s">
        <v>68</v>
      </c>
      <c r="D8" s="34"/>
      <c r="E8" s="34"/>
      <c r="F8" s="35"/>
      <c r="G8" s="18" t="s">
        <v>64</v>
      </c>
      <c r="H8" s="18"/>
      <c r="I8" s="13">
        <v>3</v>
      </c>
    </row>
    <row r="9" spans="2:9" ht="15.75" customHeight="1" x14ac:dyDescent="0.35">
      <c r="B9" s="14" t="s">
        <v>69</v>
      </c>
      <c r="C9" s="39" t="s">
        <v>70</v>
      </c>
      <c r="D9" s="34"/>
      <c r="E9" s="34"/>
      <c r="F9" s="35"/>
      <c r="G9" s="18" t="s">
        <v>64</v>
      </c>
      <c r="H9" s="9"/>
      <c r="I9" s="12">
        <v>6</v>
      </c>
    </row>
    <row r="10" spans="2:9" ht="15.75" customHeight="1" x14ac:dyDescent="0.35">
      <c r="B10" s="15" t="s">
        <v>16</v>
      </c>
      <c r="C10" s="17" t="s">
        <v>71</v>
      </c>
      <c r="D10" s="15" t="s">
        <v>10</v>
      </c>
      <c r="E10" s="15" t="s">
        <v>72</v>
      </c>
      <c r="F10" s="15" t="s">
        <v>73</v>
      </c>
      <c r="G10" s="16"/>
      <c r="H10" s="17" t="s">
        <v>14</v>
      </c>
      <c r="I10" s="17" t="s">
        <v>58</v>
      </c>
    </row>
    <row r="11" spans="2:9" ht="15.75" customHeight="1" x14ac:dyDescent="0.35">
      <c r="B11" s="18"/>
      <c r="C11" s="38" t="s">
        <v>59</v>
      </c>
      <c r="D11" s="34"/>
      <c r="E11" s="34"/>
      <c r="F11" s="35"/>
      <c r="G11" s="10" t="s">
        <v>60</v>
      </c>
      <c r="H11" s="18"/>
      <c r="I11" s="10" t="s">
        <v>61</v>
      </c>
    </row>
    <row r="12" spans="2:9" ht="15.75" customHeight="1" x14ac:dyDescent="0.35">
      <c r="B12" s="18" t="s">
        <v>74</v>
      </c>
      <c r="C12" s="18" t="s">
        <v>75</v>
      </c>
      <c r="D12" s="18"/>
      <c r="E12" s="18"/>
      <c r="F12" s="18"/>
      <c r="G12" s="18" t="s">
        <v>64</v>
      </c>
      <c r="H12" s="18"/>
      <c r="I12" s="18"/>
    </row>
    <row r="13" spans="2:9" ht="15.75" customHeight="1" x14ac:dyDescent="0.35">
      <c r="B13" s="18" t="s">
        <v>76</v>
      </c>
      <c r="C13" s="18" t="s">
        <v>77</v>
      </c>
      <c r="D13" s="18"/>
      <c r="E13" s="18"/>
      <c r="F13" s="18"/>
      <c r="G13" s="18" t="s">
        <v>64</v>
      </c>
      <c r="H13" s="18"/>
      <c r="I13" s="18"/>
    </row>
    <row r="14" spans="2:9" ht="15.75" customHeight="1" x14ac:dyDescent="0.35">
      <c r="B14" s="18" t="s">
        <v>78</v>
      </c>
      <c r="C14" s="18" t="s">
        <v>79</v>
      </c>
      <c r="D14" s="18"/>
      <c r="E14" s="18"/>
      <c r="F14" s="18"/>
      <c r="G14" s="18" t="s">
        <v>64</v>
      </c>
      <c r="H14" s="18"/>
      <c r="I14" s="18"/>
    </row>
    <row r="15" spans="2:9" ht="15.75" customHeight="1" x14ac:dyDescent="0.35">
      <c r="B15" s="18" t="s">
        <v>80</v>
      </c>
      <c r="C15" s="18" t="s">
        <v>81</v>
      </c>
      <c r="D15" s="18"/>
      <c r="E15" s="18"/>
      <c r="F15" s="18"/>
      <c r="G15" s="18" t="s">
        <v>64</v>
      </c>
      <c r="H15" s="18"/>
      <c r="I15" s="18"/>
    </row>
    <row r="16" spans="2:9" ht="15.75" customHeight="1" x14ac:dyDescent="0.35">
      <c r="B16" s="18" t="s">
        <v>82</v>
      </c>
      <c r="C16" s="18" t="s">
        <v>83</v>
      </c>
      <c r="D16" s="18"/>
      <c r="E16" s="18"/>
      <c r="F16" s="18"/>
      <c r="G16" s="18" t="s">
        <v>64</v>
      </c>
      <c r="H16" s="18"/>
      <c r="I16" s="18"/>
    </row>
    <row r="17" spans="1:26" ht="15.75" customHeight="1" x14ac:dyDescent="0.35">
      <c r="B17" s="17" t="s">
        <v>20</v>
      </c>
      <c r="C17" s="17" t="s">
        <v>21</v>
      </c>
      <c r="D17" s="17" t="s">
        <v>10</v>
      </c>
      <c r="E17" s="17" t="s">
        <v>22</v>
      </c>
      <c r="F17" s="17" t="s">
        <v>23</v>
      </c>
      <c r="G17" s="17" t="s">
        <v>84</v>
      </c>
      <c r="H17" s="17" t="s">
        <v>14</v>
      </c>
      <c r="I17" s="17" t="s">
        <v>85</v>
      </c>
    </row>
    <row r="18" spans="1:26" ht="15.75" customHeight="1" x14ac:dyDescent="0.35">
      <c r="A18" s="19"/>
      <c r="B18" s="20"/>
      <c r="C18" s="37" t="s">
        <v>59</v>
      </c>
      <c r="D18" s="34"/>
      <c r="E18" s="34"/>
      <c r="F18" s="35"/>
      <c r="G18" s="21" t="s">
        <v>60</v>
      </c>
      <c r="H18" s="20"/>
      <c r="I18" s="21" t="s">
        <v>61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35">
      <c r="B19" s="18" t="s">
        <v>86</v>
      </c>
      <c r="C19" s="18" t="s">
        <v>87</v>
      </c>
      <c r="D19" s="18"/>
      <c r="E19" s="18"/>
      <c r="F19" s="18"/>
      <c r="G19" s="18" t="s">
        <v>88</v>
      </c>
      <c r="H19" s="18"/>
      <c r="I19" s="18">
        <v>4</v>
      </c>
    </row>
    <row r="20" spans="1:26" ht="15.75" customHeight="1" x14ac:dyDescent="0.35">
      <c r="B20" s="18" t="s">
        <v>89</v>
      </c>
      <c r="C20" s="18" t="s">
        <v>90</v>
      </c>
      <c r="D20" s="18"/>
      <c r="E20" s="18"/>
      <c r="F20" s="18"/>
      <c r="G20" s="18" t="s">
        <v>88</v>
      </c>
      <c r="H20" s="18"/>
      <c r="I20" s="18">
        <v>2</v>
      </c>
    </row>
    <row r="21" spans="1:26" ht="15.75" customHeight="1" x14ac:dyDescent="0.35">
      <c r="B21" s="18" t="s">
        <v>91</v>
      </c>
      <c r="C21" s="18" t="s">
        <v>92</v>
      </c>
      <c r="D21" s="18"/>
      <c r="E21" s="18"/>
      <c r="F21" s="18"/>
      <c r="G21" s="18" t="s">
        <v>88</v>
      </c>
      <c r="H21" s="18"/>
      <c r="I21" s="18">
        <v>3</v>
      </c>
    </row>
    <row r="22" spans="1:26" ht="15.75" customHeight="1" x14ac:dyDescent="0.35">
      <c r="B22" s="18" t="s">
        <v>93</v>
      </c>
      <c r="C22" s="18" t="s">
        <v>94</v>
      </c>
      <c r="D22" s="18"/>
      <c r="E22" s="18"/>
      <c r="F22" s="18"/>
      <c r="G22" s="18" t="s">
        <v>88</v>
      </c>
      <c r="H22" s="18"/>
      <c r="I22" s="18">
        <v>2</v>
      </c>
    </row>
    <row r="23" spans="1:26" ht="15.75" customHeight="1" x14ac:dyDescent="0.35">
      <c r="B23" s="17" t="s">
        <v>24</v>
      </c>
      <c r="C23" s="17" t="s">
        <v>25</v>
      </c>
      <c r="D23" s="17" t="s">
        <v>10</v>
      </c>
      <c r="E23" s="17" t="s">
        <v>26</v>
      </c>
      <c r="F23" s="17" t="s">
        <v>27</v>
      </c>
      <c r="G23" s="17" t="s">
        <v>84</v>
      </c>
      <c r="H23" s="17" t="s">
        <v>14</v>
      </c>
      <c r="I23" s="17" t="s">
        <v>85</v>
      </c>
    </row>
    <row r="24" spans="1:26" ht="15.75" customHeight="1" x14ac:dyDescent="0.35">
      <c r="A24" s="19"/>
      <c r="B24" s="20"/>
      <c r="C24" s="37" t="s">
        <v>59</v>
      </c>
      <c r="D24" s="34"/>
      <c r="E24" s="34"/>
      <c r="F24" s="35"/>
      <c r="G24" s="21" t="s">
        <v>60</v>
      </c>
      <c r="H24" s="20"/>
      <c r="I24" s="21" t="s">
        <v>61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35">
      <c r="B25" s="18" t="s">
        <v>95</v>
      </c>
      <c r="C25" s="18" t="s">
        <v>96</v>
      </c>
      <c r="D25" s="18"/>
      <c r="E25" s="18"/>
      <c r="F25" s="18"/>
      <c r="G25" s="18" t="s">
        <v>97</v>
      </c>
      <c r="H25" s="18"/>
      <c r="I25" s="18">
        <v>4</v>
      </c>
    </row>
    <row r="26" spans="1:26" ht="15.75" customHeight="1" x14ac:dyDescent="0.35">
      <c r="B26" s="18" t="s">
        <v>98</v>
      </c>
      <c r="C26" s="18" t="s">
        <v>99</v>
      </c>
      <c r="D26" s="18"/>
      <c r="E26" s="18"/>
      <c r="F26" s="18"/>
      <c r="G26" s="18" t="s">
        <v>97</v>
      </c>
      <c r="H26" s="18"/>
      <c r="I26" s="18">
        <v>3</v>
      </c>
    </row>
    <row r="27" spans="1:26" ht="15.75" customHeight="1" x14ac:dyDescent="0.35">
      <c r="B27" s="18" t="s">
        <v>100</v>
      </c>
      <c r="C27" s="18" t="s">
        <v>101</v>
      </c>
      <c r="D27" s="18"/>
      <c r="E27" s="18"/>
      <c r="F27" s="18"/>
      <c r="G27" s="18" t="s">
        <v>97</v>
      </c>
      <c r="H27" s="18"/>
      <c r="I27" s="18">
        <v>2</v>
      </c>
    </row>
    <row r="28" spans="1:26" ht="15.75" customHeight="1" x14ac:dyDescent="0.35">
      <c r="B28" s="22" t="s">
        <v>29</v>
      </c>
      <c r="C28" s="22" t="s">
        <v>30</v>
      </c>
      <c r="D28" s="22" t="s">
        <v>10</v>
      </c>
      <c r="E28" s="22" t="s">
        <v>31</v>
      </c>
      <c r="F28" s="22" t="s">
        <v>32</v>
      </c>
      <c r="G28" s="22" t="s">
        <v>84</v>
      </c>
      <c r="H28" s="22" t="s">
        <v>28</v>
      </c>
      <c r="I28" s="22" t="s">
        <v>15</v>
      </c>
    </row>
    <row r="29" spans="1:26" ht="15.75" customHeight="1" x14ac:dyDescent="0.35">
      <c r="A29" s="19"/>
      <c r="B29" s="20"/>
      <c r="C29" s="37" t="s">
        <v>59</v>
      </c>
      <c r="D29" s="34"/>
      <c r="E29" s="34"/>
      <c r="F29" s="35"/>
      <c r="G29" s="21" t="s">
        <v>60</v>
      </c>
      <c r="H29" s="20"/>
      <c r="I29" s="21" t="s">
        <v>61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35">
      <c r="B30" s="23" t="s">
        <v>102</v>
      </c>
      <c r="C30" s="33" t="s">
        <v>103</v>
      </c>
      <c r="D30" s="34"/>
      <c r="E30" s="35"/>
      <c r="F30" s="23"/>
      <c r="G30" s="23" t="s">
        <v>104</v>
      </c>
      <c r="H30" s="23"/>
      <c r="I30" s="24">
        <v>3</v>
      </c>
    </row>
    <row r="31" spans="1:26" ht="15.75" customHeight="1" x14ac:dyDescent="0.35">
      <c r="B31" s="23" t="s">
        <v>105</v>
      </c>
      <c r="C31" s="33" t="s">
        <v>106</v>
      </c>
      <c r="D31" s="35"/>
      <c r="E31" s="23"/>
      <c r="F31" s="23"/>
      <c r="G31" s="23" t="s">
        <v>104</v>
      </c>
      <c r="H31" s="23"/>
      <c r="I31" s="24">
        <v>2</v>
      </c>
    </row>
    <row r="32" spans="1:26" ht="15.75" customHeight="1" x14ac:dyDescent="0.35">
      <c r="B32" s="23" t="s">
        <v>107</v>
      </c>
      <c r="C32" s="33" t="s">
        <v>108</v>
      </c>
      <c r="D32" s="35"/>
      <c r="E32" s="23"/>
      <c r="F32" s="23"/>
      <c r="G32" s="23" t="s">
        <v>104</v>
      </c>
      <c r="H32" s="23"/>
      <c r="I32" s="24">
        <v>2</v>
      </c>
    </row>
    <row r="33" spans="1:26" ht="15.75" customHeight="1" x14ac:dyDescent="0.35">
      <c r="B33" s="23" t="s">
        <v>109</v>
      </c>
      <c r="C33" s="33" t="s">
        <v>110</v>
      </c>
      <c r="D33" s="35"/>
      <c r="E33" s="23"/>
      <c r="F33" s="23"/>
      <c r="G33" s="23" t="s">
        <v>104</v>
      </c>
      <c r="H33" s="23"/>
      <c r="I33" s="24">
        <v>2</v>
      </c>
    </row>
    <row r="34" spans="1:26" ht="15.75" customHeight="1" x14ac:dyDescent="0.35">
      <c r="B34" s="22" t="s">
        <v>33</v>
      </c>
      <c r="C34" s="22" t="s">
        <v>34</v>
      </c>
      <c r="D34" s="22" t="s">
        <v>10</v>
      </c>
      <c r="E34" s="22" t="s">
        <v>35</v>
      </c>
      <c r="F34" s="22" t="s">
        <v>36</v>
      </c>
      <c r="G34" s="22" t="s">
        <v>111</v>
      </c>
      <c r="H34" s="22" t="s">
        <v>14</v>
      </c>
      <c r="I34" s="22" t="s">
        <v>112</v>
      </c>
    </row>
    <row r="35" spans="1:26" ht="15.75" customHeight="1" x14ac:dyDescent="0.35">
      <c r="A35" s="19"/>
      <c r="B35" s="20"/>
      <c r="C35" s="37" t="s">
        <v>59</v>
      </c>
      <c r="D35" s="34"/>
      <c r="E35" s="34"/>
      <c r="F35" s="35"/>
      <c r="G35" s="21" t="s">
        <v>60</v>
      </c>
      <c r="H35" s="20"/>
      <c r="I35" s="21" t="s">
        <v>61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35">
      <c r="B36" s="23" t="s">
        <v>113</v>
      </c>
      <c r="C36" s="33" t="s">
        <v>114</v>
      </c>
      <c r="D36" s="35"/>
      <c r="E36" s="23"/>
      <c r="F36" s="23"/>
      <c r="G36" s="23" t="s">
        <v>97</v>
      </c>
      <c r="H36" s="23"/>
      <c r="I36" s="24">
        <v>5</v>
      </c>
    </row>
    <row r="37" spans="1:26" ht="15.75" customHeight="1" x14ac:dyDescent="0.35">
      <c r="B37" s="23" t="s">
        <v>115</v>
      </c>
      <c r="C37" s="33" t="s">
        <v>116</v>
      </c>
      <c r="D37" s="35"/>
      <c r="E37" s="23"/>
      <c r="F37" s="23"/>
      <c r="G37" s="23" t="s">
        <v>97</v>
      </c>
      <c r="H37" s="23"/>
      <c r="I37" s="24">
        <v>2</v>
      </c>
    </row>
    <row r="38" spans="1:26" ht="15.75" customHeight="1" x14ac:dyDescent="0.35">
      <c r="B38" s="23" t="s">
        <v>117</v>
      </c>
      <c r="C38" s="33" t="s">
        <v>118</v>
      </c>
      <c r="D38" s="34"/>
      <c r="E38" s="35"/>
      <c r="F38" s="23"/>
      <c r="G38" s="23" t="s">
        <v>97</v>
      </c>
      <c r="H38" s="23"/>
      <c r="I38" s="24">
        <v>4</v>
      </c>
    </row>
    <row r="39" spans="1:26" ht="15.75" customHeight="1" x14ac:dyDescent="0.35">
      <c r="B39" s="23" t="s">
        <v>119</v>
      </c>
      <c r="C39" s="33" t="s">
        <v>120</v>
      </c>
      <c r="D39" s="35"/>
      <c r="E39" s="23"/>
      <c r="F39" s="23"/>
      <c r="G39" s="23" t="s">
        <v>97</v>
      </c>
      <c r="H39" s="23"/>
      <c r="I39" s="24">
        <v>2</v>
      </c>
    </row>
    <row r="40" spans="1:26" ht="15.75" customHeight="1" x14ac:dyDescent="0.35">
      <c r="B40" s="23" t="s">
        <v>121</v>
      </c>
      <c r="C40" s="33" t="s">
        <v>122</v>
      </c>
      <c r="D40" s="35"/>
      <c r="E40" s="23"/>
      <c r="F40" s="23"/>
      <c r="G40" s="23" t="s">
        <v>97</v>
      </c>
      <c r="H40" s="23"/>
      <c r="I40" s="24">
        <v>2</v>
      </c>
    </row>
    <row r="41" spans="1:26" ht="15.75" customHeight="1" x14ac:dyDescent="0.35">
      <c r="B41" s="22" t="s">
        <v>37</v>
      </c>
      <c r="C41" s="22" t="s">
        <v>38</v>
      </c>
      <c r="D41" s="22" t="s">
        <v>123</v>
      </c>
      <c r="E41" s="22" t="s">
        <v>40</v>
      </c>
      <c r="F41" s="22" t="s">
        <v>41</v>
      </c>
      <c r="G41" s="22" t="s">
        <v>124</v>
      </c>
      <c r="H41" s="22" t="s">
        <v>14</v>
      </c>
      <c r="I41" s="22" t="s">
        <v>15</v>
      </c>
    </row>
    <row r="42" spans="1:26" ht="15.75" customHeight="1" x14ac:dyDescent="0.35">
      <c r="A42" s="19"/>
      <c r="B42" s="20"/>
      <c r="C42" s="37" t="s">
        <v>59</v>
      </c>
      <c r="D42" s="34"/>
      <c r="E42" s="34"/>
      <c r="F42" s="35"/>
      <c r="G42" s="21" t="s">
        <v>60</v>
      </c>
      <c r="H42" s="20"/>
      <c r="I42" s="21" t="s">
        <v>61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35">
      <c r="B43" s="23" t="s">
        <v>125</v>
      </c>
      <c r="C43" s="33" t="s">
        <v>126</v>
      </c>
      <c r="D43" s="35"/>
      <c r="E43" s="23"/>
      <c r="F43" s="23"/>
      <c r="G43" s="23" t="s">
        <v>64</v>
      </c>
      <c r="H43" s="23"/>
      <c r="I43" s="24">
        <v>4</v>
      </c>
    </row>
    <row r="44" spans="1:26" ht="15.75" customHeight="1" x14ac:dyDescent="0.35">
      <c r="B44" s="23" t="s">
        <v>127</v>
      </c>
      <c r="C44" s="33" t="s">
        <v>128</v>
      </c>
      <c r="D44" s="35"/>
      <c r="E44" s="23"/>
      <c r="F44" s="23"/>
      <c r="G44" s="23" t="s">
        <v>64</v>
      </c>
      <c r="H44" s="23"/>
      <c r="I44" s="24">
        <v>3</v>
      </c>
    </row>
    <row r="45" spans="1:26" ht="15.75" customHeight="1" x14ac:dyDescent="0.35">
      <c r="B45" s="23" t="s">
        <v>129</v>
      </c>
      <c r="C45" s="33" t="s">
        <v>130</v>
      </c>
      <c r="D45" s="35"/>
      <c r="E45" s="23"/>
      <c r="F45" s="23"/>
      <c r="G45" s="23" t="s">
        <v>64</v>
      </c>
      <c r="H45" s="23"/>
      <c r="I45" s="24">
        <v>3</v>
      </c>
    </row>
    <row r="46" spans="1:26" ht="15.75" customHeight="1" x14ac:dyDescent="0.35">
      <c r="B46" s="23" t="s">
        <v>131</v>
      </c>
      <c r="C46" s="33" t="s">
        <v>132</v>
      </c>
      <c r="D46" s="34"/>
      <c r="E46" s="35"/>
      <c r="F46" s="23"/>
      <c r="G46" s="23" t="s">
        <v>64</v>
      </c>
      <c r="H46" s="23"/>
      <c r="I46" s="24">
        <v>2</v>
      </c>
    </row>
    <row r="47" spans="1:26" ht="15.75" customHeight="1" x14ac:dyDescent="0.35">
      <c r="B47" s="23" t="s">
        <v>133</v>
      </c>
      <c r="C47" s="33" t="s">
        <v>134</v>
      </c>
      <c r="D47" s="35"/>
      <c r="E47" s="23"/>
      <c r="F47" s="23"/>
      <c r="G47" s="23" t="s">
        <v>64</v>
      </c>
      <c r="H47" s="23"/>
      <c r="I47" s="24">
        <v>2</v>
      </c>
    </row>
    <row r="48" spans="1:26" ht="15.75" customHeight="1" x14ac:dyDescent="0.35">
      <c r="B48" s="22" t="s">
        <v>42</v>
      </c>
      <c r="C48" s="22" t="s">
        <v>43</v>
      </c>
      <c r="D48" s="22" t="s">
        <v>10</v>
      </c>
      <c r="E48" s="22" t="s">
        <v>44</v>
      </c>
      <c r="F48" s="22" t="s">
        <v>45</v>
      </c>
      <c r="G48" s="22" t="s">
        <v>135</v>
      </c>
      <c r="H48" s="22" t="s">
        <v>14</v>
      </c>
      <c r="I48" s="22" t="s">
        <v>15</v>
      </c>
    </row>
    <row r="49" spans="1:26" ht="15.75" customHeight="1" x14ac:dyDescent="0.35">
      <c r="A49" s="19"/>
      <c r="B49" s="20"/>
      <c r="C49" s="37" t="s">
        <v>59</v>
      </c>
      <c r="D49" s="34"/>
      <c r="E49" s="34"/>
      <c r="F49" s="35"/>
      <c r="G49" s="21" t="s">
        <v>60</v>
      </c>
      <c r="H49" s="20"/>
      <c r="I49" s="21" t="s">
        <v>61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35">
      <c r="B50" s="23" t="s">
        <v>136</v>
      </c>
      <c r="C50" s="33" t="s">
        <v>137</v>
      </c>
      <c r="D50" s="34"/>
      <c r="E50" s="35"/>
      <c r="F50" s="23"/>
      <c r="G50" s="23" t="s">
        <v>88</v>
      </c>
      <c r="H50" s="23"/>
      <c r="I50" s="24">
        <v>4</v>
      </c>
    </row>
    <row r="51" spans="1:26" ht="15.75" customHeight="1" x14ac:dyDescent="0.35">
      <c r="B51" s="23" t="s">
        <v>138</v>
      </c>
      <c r="C51" s="33" t="s">
        <v>139</v>
      </c>
      <c r="D51" s="35"/>
      <c r="E51" s="23"/>
      <c r="F51" s="23"/>
      <c r="G51" s="23" t="s">
        <v>88</v>
      </c>
      <c r="H51" s="23"/>
      <c r="I51" s="24">
        <v>3</v>
      </c>
    </row>
    <row r="52" spans="1:26" ht="15.75" customHeight="1" x14ac:dyDescent="0.35">
      <c r="B52" s="23" t="s">
        <v>140</v>
      </c>
      <c r="C52" s="33" t="s">
        <v>141</v>
      </c>
      <c r="D52" s="35"/>
      <c r="E52" s="23"/>
      <c r="F52" s="23"/>
      <c r="G52" s="23" t="s">
        <v>88</v>
      </c>
      <c r="H52" s="23"/>
      <c r="I52" s="24">
        <v>2</v>
      </c>
    </row>
    <row r="53" spans="1:26" ht="15.75" customHeight="1" x14ac:dyDescent="0.35">
      <c r="B53" s="23" t="s">
        <v>142</v>
      </c>
      <c r="C53" s="33" t="s">
        <v>143</v>
      </c>
      <c r="D53" s="34"/>
      <c r="E53" s="35"/>
      <c r="F53" s="23"/>
      <c r="G53" s="23" t="s">
        <v>88</v>
      </c>
      <c r="H53" s="23"/>
      <c r="I53" s="24">
        <v>2</v>
      </c>
    </row>
    <row r="54" spans="1:26" ht="15.75" customHeight="1" x14ac:dyDescent="0.35">
      <c r="B54" s="23" t="s">
        <v>144</v>
      </c>
      <c r="C54" s="33" t="s">
        <v>145</v>
      </c>
      <c r="D54" s="35"/>
      <c r="E54" s="23"/>
      <c r="F54" s="23"/>
      <c r="G54" s="23" t="s">
        <v>88</v>
      </c>
      <c r="H54" s="23"/>
      <c r="I54" s="24">
        <v>2</v>
      </c>
    </row>
    <row r="55" spans="1:26" ht="15.75" customHeight="1" x14ac:dyDescent="0.35">
      <c r="B55" s="22" t="s">
        <v>46</v>
      </c>
      <c r="C55" s="22" t="s">
        <v>47</v>
      </c>
      <c r="D55" s="22" t="s">
        <v>10</v>
      </c>
      <c r="E55" s="22" t="s">
        <v>48</v>
      </c>
      <c r="F55" s="22" t="s">
        <v>49</v>
      </c>
      <c r="G55" s="22" t="s">
        <v>146</v>
      </c>
      <c r="H55" s="22" t="s">
        <v>28</v>
      </c>
      <c r="I55" s="22" t="s">
        <v>15</v>
      </c>
    </row>
    <row r="56" spans="1:26" ht="15.75" customHeight="1" x14ac:dyDescent="0.35">
      <c r="A56" s="19"/>
      <c r="B56" s="20"/>
      <c r="C56" s="37" t="s">
        <v>59</v>
      </c>
      <c r="D56" s="34"/>
      <c r="E56" s="34"/>
      <c r="F56" s="35"/>
      <c r="G56" s="21" t="s">
        <v>60</v>
      </c>
      <c r="H56" s="20"/>
      <c r="I56" s="21" t="s">
        <v>61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35">
      <c r="B57" s="23" t="s">
        <v>147</v>
      </c>
      <c r="C57" s="33" t="s">
        <v>148</v>
      </c>
      <c r="D57" s="35"/>
      <c r="E57" s="23"/>
      <c r="F57" s="23"/>
      <c r="G57" s="23" t="s">
        <v>104</v>
      </c>
      <c r="H57" s="23"/>
      <c r="I57" s="24">
        <v>5</v>
      </c>
    </row>
    <row r="58" spans="1:26" ht="15.75" customHeight="1" x14ac:dyDescent="0.35">
      <c r="B58" s="23" t="s">
        <v>149</v>
      </c>
      <c r="C58" s="33" t="s">
        <v>150</v>
      </c>
      <c r="D58" s="35"/>
      <c r="E58" s="23"/>
      <c r="F58" s="23"/>
      <c r="G58" s="23" t="s">
        <v>104</v>
      </c>
      <c r="H58" s="23"/>
      <c r="I58" s="24">
        <v>3</v>
      </c>
    </row>
    <row r="59" spans="1:26" ht="15.75" customHeight="1" x14ac:dyDescent="0.35">
      <c r="B59" s="23" t="s">
        <v>151</v>
      </c>
      <c r="C59" s="33" t="s">
        <v>152</v>
      </c>
      <c r="D59" s="35"/>
      <c r="E59" s="23"/>
      <c r="F59" s="23"/>
      <c r="G59" s="23" t="s">
        <v>104</v>
      </c>
      <c r="H59" s="23"/>
      <c r="I59" s="24">
        <v>2</v>
      </c>
    </row>
    <row r="60" spans="1:26" ht="15.75" customHeight="1" x14ac:dyDescent="0.35">
      <c r="B60" s="23" t="s">
        <v>153</v>
      </c>
      <c r="C60" s="33" t="s">
        <v>154</v>
      </c>
      <c r="D60" s="35"/>
      <c r="E60" s="23"/>
      <c r="F60" s="23"/>
      <c r="G60" s="23" t="s">
        <v>104</v>
      </c>
      <c r="H60" s="23"/>
      <c r="I60" s="24">
        <v>3</v>
      </c>
    </row>
    <row r="61" spans="1:26" ht="15.75" customHeight="1" x14ac:dyDescent="0.35">
      <c r="B61" s="23" t="s">
        <v>155</v>
      </c>
      <c r="C61" s="33" t="s">
        <v>156</v>
      </c>
      <c r="D61" s="35"/>
      <c r="E61" s="23"/>
      <c r="F61" s="23"/>
      <c r="G61" s="23" t="s">
        <v>104</v>
      </c>
      <c r="H61" s="23"/>
      <c r="I61" s="24">
        <v>2</v>
      </c>
    </row>
    <row r="62" spans="1:26" ht="15.75" customHeight="1" x14ac:dyDescent="0.25"/>
    <row r="63" spans="1:26" ht="15.75" customHeight="1" x14ac:dyDescent="0.25"/>
    <row r="64" spans="1:2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7">
    <mergeCell ref="C61:D61"/>
    <mergeCell ref="C52:D52"/>
    <mergeCell ref="C30:E30"/>
    <mergeCell ref="C39:D39"/>
    <mergeCell ref="C9:F9"/>
    <mergeCell ref="C32:D32"/>
    <mergeCell ref="C56:F56"/>
    <mergeCell ref="C57:D57"/>
    <mergeCell ref="C37:D37"/>
    <mergeCell ref="C11:F11"/>
    <mergeCell ref="C59:D59"/>
    <mergeCell ref="C43:D43"/>
    <mergeCell ref="C60:D60"/>
    <mergeCell ref="C35:F35"/>
    <mergeCell ref="C53:E53"/>
    <mergeCell ref="C51:D51"/>
    <mergeCell ref="C36:D36"/>
    <mergeCell ref="C6:F6"/>
    <mergeCell ref="C44:D44"/>
    <mergeCell ref="C40:D40"/>
    <mergeCell ref="C24:F24"/>
    <mergeCell ref="C5:F5"/>
    <mergeCell ref="C42:F42"/>
    <mergeCell ref="C31:D31"/>
    <mergeCell ref="C38:E38"/>
    <mergeCell ref="C29:F29"/>
    <mergeCell ref="C50:E50"/>
    <mergeCell ref="C8:F8"/>
    <mergeCell ref="C33:D33"/>
    <mergeCell ref="C58:D58"/>
    <mergeCell ref="C7:F7"/>
    <mergeCell ref="C45:D45"/>
    <mergeCell ref="C46:E46"/>
    <mergeCell ref="C18:F18"/>
    <mergeCell ref="C47:D47"/>
    <mergeCell ref="C54:D54"/>
    <mergeCell ref="C49:F4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328125" defaultRowHeight="15" customHeight="1" x14ac:dyDescent="0.25"/>
  <cols>
    <col min="1" max="1" width="12.453125" style="32" customWidth="1"/>
    <col min="2" max="2" width="24.7265625" style="32" customWidth="1"/>
    <col min="3" max="3" width="12.453125" style="32" customWidth="1"/>
    <col min="4" max="4" width="11.08984375" style="32" customWidth="1"/>
    <col min="5" max="26" width="12.453125" style="32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25"/>
      <c r="C3" s="25" t="s">
        <v>61</v>
      </c>
      <c r="D3" s="25" t="s">
        <v>157</v>
      </c>
      <c r="E3" s="25" t="s">
        <v>158</v>
      </c>
      <c r="F3" s="25" t="s">
        <v>159</v>
      </c>
      <c r="G3" s="25" t="s">
        <v>160</v>
      </c>
      <c r="H3" s="25" t="s">
        <v>161</v>
      </c>
      <c r="I3" s="25" t="s">
        <v>162</v>
      </c>
      <c r="J3" s="25" t="s">
        <v>163</v>
      </c>
      <c r="K3" s="25" t="s">
        <v>164</v>
      </c>
    </row>
    <row r="4" spans="1:11" ht="15.75" customHeight="1" x14ac:dyDescent="0.25">
      <c r="B4" s="26" t="s">
        <v>62</v>
      </c>
      <c r="C4" s="27">
        <v>4</v>
      </c>
      <c r="D4" s="26">
        <v>0</v>
      </c>
      <c r="E4" s="26">
        <v>2</v>
      </c>
      <c r="F4" s="26">
        <v>1</v>
      </c>
      <c r="G4" s="26">
        <v>0</v>
      </c>
      <c r="H4" s="26">
        <v>0</v>
      </c>
      <c r="I4" s="26">
        <v>0</v>
      </c>
      <c r="J4" s="26">
        <v>1</v>
      </c>
      <c r="K4" s="28">
        <v>4</v>
      </c>
    </row>
    <row r="5" spans="1:11" ht="15.75" customHeight="1" x14ac:dyDescent="0.25">
      <c r="B5" s="26" t="s">
        <v>65</v>
      </c>
      <c r="C5" s="27">
        <v>1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1</v>
      </c>
      <c r="J5" s="26">
        <v>0</v>
      </c>
      <c r="K5" s="28">
        <v>1</v>
      </c>
    </row>
    <row r="6" spans="1:11" ht="15.75" customHeight="1" x14ac:dyDescent="0.25">
      <c r="A6" s="25"/>
      <c r="B6" s="26" t="s">
        <v>67</v>
      </c>
      <c r="C6" s="27">
        <v>2</v>
      </c>
      <c r="D6" s="26">
        <v>1</v>
      </c>
      <c r="E6" s="26">
        <v>0</v>
      </c>
      <c r="F6" s="26">
        <v>1</v>
      </c>
      <c r="G6" s="26">
        <v>0</v>
      </c>
      <c r="H6" s="26">
        <v>0</v>
      </c>
      <c r="I6" s="26">
        <v>0</v>
      </c>
      <c r="J6" s="26">
        <v>0</v>
      </c>
      <c r="K6" s="28">
        <v>2</v>
      </c>
    </row>
    <row r="7" spans="1:11" ht="15.75" customHeight="1" x14ac:dyDescent="0.25">
      <c r="A7" s="25"/>
      <c r="B7" s="26" t="s">
        <v>69</v>
      </c>
      <c r="C7" s="27">
        <v>4</v>
      </c>
      <c r="D7" s="26">
        <v>2</v>
      </c>
      <c r="E7" s="26">
        <v>0</v>
      </c>
      <c r="F7" s="26">
        <v>0</v>
      </c>
      <c r="G7" s="26">
        <v>1</v>
      </c>
      <c r="H7" s="26">
        <v>0</v>
      </c>
      <c r="I7" s="26">
        <v>1</v>
      </c>
      <c r="J7" s="26">
        <v>0</v>
      </c>
      <c r="K7" s="28">
        <v>4</v>
      </c>
    </row>
    <row r="8" spans="1:11" ht="15.75" customHeight="1" x14ac:dyDescent="0.25"/>
    <row r="9" spans="1:11" ht="15.75" customHeight="1" x14ac:dyDescent="0.55000000000000004">
      <c r="B9" s="29" t="s">
        <v>165</v>
      </c>
      <c r="C9" s="30">
        <f>SUM(C4:C7)</f>
        <v>11</v>
      </c>
      <c r="D9" s="30">
        <f t="shared" ref="D9:J9" si="0">C9-SUM(D4:D7)</f>
        <v>8</v>
      </c>
      <c r="E9" s="31">
        <f t="shared" si="0"/>
        <v>6</v>
      </c>
      <c r="F9" s="30">
        <f t="shared" si="0"/>
        <v>4</v>
      </c>
      <c r="G9" s="30">
        <f t="shared" si="0"/>
        <v>3</v>
      </c>
      <c r="H9" s="30">
        <f t="shared" si="0"/>
        <v>3</v>
      </c>
      <c r="I9" s="30">
        <f t="shared" si="0"/>
        <v>1</v>
      </c>
      <c r="J9" s="30">
        <f t="shared" si="0"/>
        <v>0</v>
      </c>
    </row>
    <row r="10" spans="1:11" ht="26.25" customHeight="1" x14ac:dyDescent="0.55000000000000004">
      <c r="B10" s="29" t="s">
        <v>166</v>
      </c>
      <c r="C10" s="30">
        <f>SUM(C4:C7)</f>
        <v>11</v>
      </c>
      <c r="D10" s="30">
        <f>C10-(SUM(C4:C7)/7)</f>
        <v>9.4285714285714288</v>
      </c>
      <c r="E10" s="31">
        <f>D10-(SUM(C4:C7)/7)</f>
        <v>7.8571428571428577</v>
      </c>
      <c r="F10" s="30">
        <f>E10-(SUM(C4:C7)/7)</f>
        <v>6.2857142857142865</v>
      </c>
      <c r="G10" s="30">
        <f>F10-(SUM(C4:C7)/7)</f>
        <v>4.7142857142857153</v>
      </c>
      <c r="H10" s="30">
        <f>G10-(SUM(C4:C7)/7)</f>
        <v>3.1428571428571441</v>
      </c>
      <c r="I10" s="30">
        <f>H10-(SUM(C4:C7)/7)</f>
        <v>1.5714285714285727</v>
      </c>
      <c r="J10" s="30">
        <f>I10-(SUM(C4:C7)/7)</f>
        <v>0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40"/>
      <c r="C19" s="41"/>
      <c r="D19" s="41"/>
      <c r="E19" s="41"/>
    </row>
    <row r="20" spans="2:5" ht="15.75" customHeight="1" x14ac:dyDescent="0.25">
      <c r="B20" s="41"/>
      <c r="C20" s="41"/>
      <c r="D20" s="41"/>
      <c r="E20" s="41"/>
    </row>
    <row r="21" spans="2:5" ht="15.75" customHeight="1" x14ac:dyDescent="0.25">
      <c r="B21" s="41"/>
      <c r="C21" s="41"/>
      <c r="D21" s="41"/>
      <c r="E21" s="41"/>
    </row>
    <row r="22" spans="2:5" ht="15.75" customHeight="1" x14ac:dyDescent="0.25">
      <c r="B22" s="41"/>
      <c r="C22" s="41"/>
      <c r="D22" s="41"/>
      <c r="E22" s="41"/>
    </row>
    <row r="23" spans="2:5" ht="15.75" customHeight="1" x14ac:dyDescent="0.25">
      <c r="B23" s="41"/>
      <c r="C23" s="41"/>
      <c r="D23" s="41"/>
      <c r="E23" s="41"/>
    </row>
    <row r="24" spans="2:5" ht="15.75" customHeight="1" x14ac:dyDescent="0.25">
      <c r="B24" s="41"/>
      <c r="C24" s="41"/>
      <c r="D24" s="41"/>
      <c r="E24" s="41"/>
    </row>
    <row r="25" spans="2:5" ht="15.75" customHeight="1" x14ac:dyDescent="0.25">
      <c r="B25" s="41"/>
      <c r="C25" s="41"/>
      <c r="D25" s="41"/>
      <c r="E25" s="41"/>
    </row>
    <row r="26" spans="2:5" ht="15.75" customHeight="1" x14ac:dyDescent="0.25">
      <c r="B26" s="41"/>
      <c r="C26" s="41"/>
      <c r="D26" s="41"/>
      <c r="E26" s="41"/>
    </row>
    <row r="27" spans="2:5" ht="15.75" customHeight="1" x14ac:dyDescent="0.25">
      <c r="B27" s="41"/>
      <c r="C27" s="41"/>
      <c r="D27" s="41"/>
      <c r="E27" s="41"/>
    </row>
    <row r="28" spans="2:5" ht="15.75" customHeight="1" x14ac:dyDescent="0.25">
      <c r="B28" s="41"/>
      <c r="C28" s="41"/>
      <c r="D28" s="41"/>
      <c r="E28" s="41"/>
    </row>
    <row r="29" spans="2:5" ht="15.75" customHeight="1" x14ac:dyDescent="0.25">
      <c r="B29" s="41"/>
      <c r="C29" s="41"/>
      <c r="D29" s="41"/>
      <c r="E29" s="41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9:E2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CAYO MOLINA ASHLEY JANINE</cp:lastModifiedBy>
  <dcterms:created xsi:type="dcterms:W3CDTF">2026-05-29T05:07:42Z</dcterms:created>
  <dcterms:modified xsi:type="dcterms:W3CDTF">2026-05-29T15:08:48Z</dcterms:modified>
</cp:coreProperties>
</file>