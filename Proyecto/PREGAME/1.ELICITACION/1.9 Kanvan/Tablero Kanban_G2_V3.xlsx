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avie\Downloads\"/>
    </mc:Choice>
  </mc:AlternateContent>
  <xr:revisionPtr revIDLastSave="0" documentId="8_{940AB907-5D5B-4241-94BF-909120C15C69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3" i="5" l="1" a="1"/>
  <c r="D53" i="5" s="1"/>
  <c r="D45" i="5" a="1"/>
  <c r="D45" i="5" s="1"/>
  <c r="D60" i="5" a="1"/>
  <c r="D60" i="5" s="1"/>
  <c r="D57" i="5" a="1"/>
  <c r="D57" i="5" s="1"/>
  <c r="D59" i="5" a="1"/>
  <c r="D59" i="5" s="1"/>
  <c r="D58" i="5" a="1"/>
  <c r="D58" i="5" s="1"/>
  <c r="D51" i="5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52" i="5"/>
  <c r="G27" i="5"/>
  <c r="G47" i="5"/>
  <c r="G10" i="5"/>
  <c r="G26" i="5"/>
  <c r="G73" i="5"/>
  <c r="G28" i="5"/>
  <c r="G83" i="5"/>
  <c r="G8" i="5"/>
  <c r="G48" i="5"/>
  <c r="G67" i="5"/>
  <c r="G54" i="5"/>
  <c r="G65" i="5"/>
  <c r="G97" i="5"/>
  <c r="G72" i="5"/>
  <c r="G51" i="5"/>
  <c r="G36" i="5"/>
  <c r="G101" i="5"/>
  <c r="G74" i="5"/>
  <c r="G30" i="5"/>
  <c r="G18" i="5"/>
  <c r="G99" i="5"/>
  <c r="G66" i="5"/>
  <c r="G53" i="5"/>
  <c r="G43" i="5"/>
  <c r="G45" i="5"/>
  <c r="G50" i="5"/>
  <c r="G69" i="5"/>
  <c r="G41" i="5"/>
  <c r="G40" i="5"/>
  <c r="G12" i="5"/>
  <c r="G9" i="5"/>
  <c r="G60" i="5"/>
  <c r="G95" i="5"/>
  <c r="G14" i="5"/>
  <c r="G35" i="5"/>
  <c r="G77" i="5"/>
  <c r="G33" i="5"/>
  <c r="G31" i="5"/>
  <c r="G19" i="5"/>
  <c r="G22" i="5"/>
  <c r="G7" i="5"/>
  <c r="G34" i="5"/>
  <c r="G86" i="5"/>
  <c r="G46" i="5"/>
  <c r="G25" i="5"/>
  <c r="G2" i="5"/>
  <c r="G84" i="5"/>
  <c r="G92" i="5"/>
  <c r="G16" i="5"/>
  <c r="G56" i="5"/>
  <c r="G55" i="5"/>
  <c r="G63" i="5"/>
  <c r="G11" i="5"/>
  <c r="G91" i="5"/>
  <c r="G49" i="5"/>
  <c r="G44" i="5"/>
  <c r="G37" i="5"/>
  <c r="G20" i="5"/>
  <c r="G70" i="5"/>
  <c r="G3" i="5"/>
  <c r="G59" i="5"/>
  <c r="G81" i="5"/>
  <c r="G39" i="5"/>
  <c r="G21" i="5"/>
  <c r="G96" i="5"/>
  <c r="G61" i="5"/>
  <c r="G24" i="5"/>
  <c r="G17" i="5"/>
  <c r="G42" i="5"/>
  <c r="G87" i="5"/>
  <c r="G4" i="5"/>
  <c r="G75" i="5"/>
  <c r="G80" i="5"/>
  <c r="G29" i="5"/>
  <c r="G76" i="5"/>
  <c r="G71" i="5"/>
  <c r="G88" i="5"/>
  <c r="G57" i="5"/>
  <c r="G32" i="5"/>
  <c r="G94" i="5"/>
  <c r="G64" i="5"/>
  <c r="G68" i="5"/>
  <c r="G23" i="5"/>
  <c r="G78" i="5"/>
  <c r="G93" i="5"/>
  <c r="G62" i="5"/>
  <c r="G82" i="5"/>
  <c r="G38" i="5"/>
  <c r="G98" i="5"/>
  <c r="G79" i="5"/>
  <c r="G89" i="5"/>
  <c r="G5" i="5"/>
  <c r="G85" i="5"/>
  <c r="G58" i="5"/>
  <c r="G100" i="5"/>
  <c r="G90" i="5"/>
  <c r="G13" i="5"/>
  <c r="G6" i="5"/>
  <c r="G15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E53" i="5"/>
  <c r="M8" i="5"/>
  <c r="N63" i="5"/>
  <c r="E64" i="5"/>
  <c r="N18" i="5"/>
  <c r="E40" i="5"/>
  <c r="M60" i="5"/>
  <c r="E80" i="5"/>
  <c r="N8" i="5"/>
  <c r="M93" i="5"/>
  <c r="M73" i="5"/>
  <c r="E90" i="5"/>
  <c r="N35" i="5"/>
  <c r="N49" i="5"/>
  <c r="N95" i="5"/>
  <c r="N34" i="5"/>
  <c r="N47" i="5"/>
  <c r="E100" i="5"/>
  <c r="M79" i="5"/>
  <c r="M10" i="5"/>
  <c r="E34" i="5"/>
  <c r="M82" i="5"/>
  <c r="E19" i="5"/>
  <c r="E62" i="5"/>
  <c r="E60" i="5"/>
  <c r="N13" i="5"/>
  <c r="M55" i="5"/>
  <c r="E30" i="5"/>
  <c r="M59" i="5"/>
  <c r="N31" i="5"/>
  <c r="M45" i="5"/>
  <c r="N39" i="5"/>
  <c r="N4" i="5"/>
  <c r="E39" i="5"/>
  <c r="M41" i="5"/>
  <c r="M34" i="5"/>
  <c r="N89" i="5"/>
  <c r="M19" i="5"/>
  <c r="M52" i="5"/>
  <c r="N74" i="5"/>
  <c r="M86" i="5"/>
  <c r="N76" i="5"/>
  <c r="N25" i="5"/>
  <c r="M21" i="5"/>
  <c r="E8" i="5"/>
  <c r="N71" i="5"/>
  <c r="N66" i="5"/>
  <c r="N33" i="5"/>
  <c r="N41" i="5"/>
  <c r="E29" i="5"/>
  <c r="M97" i="5"/>
  <c r="M74" i="5"/>
  <c r="M91" i="5"/>
  <c r="N52" i="5"/>
  <c r="E9" i="5"/>
  <c r="E52" i="5"/>
  <c r="E48" i="5"/>
  <c r="N17" i="5"/>
  <c r="M26" i="5"/>
  <c r="E4" i="5"/>
  <c r="N6" i="5"/>
  <c r="N93" i="5"/>
  <c r="E22" i="5"/>
  <c r="E59" i="5"/>
  <c r="E99" i="5"/>
  <c r="E71" i="5"/>
  <c r="E91" i="5"/>
  <c r="M17" i="5"/>
  <c r="E86" i="5"/>
  <c r="E3" i="5"/>
  <c r="M64" i="5"/>
  <c r="M30" i="5"/>
  <c r="M27" i="5"/>
  <c r="E57" i="5"/>
  <c r="M33" i="5"/>
  <c r="M36" i="5"/>
  <c r="M5" i="5"/>
  <c r="E36" i="5"/>
  <c r="E81" i="5"/>
  <c r="M89" i="5"/>
  <c r="E65" i="5"/>
  <c r="N62" i="5"/>
  <c r="M67" i="5"/>
  <c r="E14" i="5"/>
  <c r="E56" i="5"/>
  <c r="M47" i="5"/>
  <c r="N83" i="5"/>
  <c r="N80" i="5"/>
  <c r="E95" i="5"/>
  <c r="N30" i="5"/>
  <c r="M77" i="5"/>
  <c r="E66" i="5"/>
  <c r="E47" i="5"/>
  <c r="M35" i="5"/>
  <c r="N86" i="5"/>
  <c r="E10" i="5"/>
  <c r="M61" i="5"/>
  <c r="N82" i="5"/>
  <c r="M42" i="5"/>
  <c r="M14" i="5"/>
  <c r="E24" i="5"/>
  <c r="M99" i="5"/>
  <c r="E98" i="5"/>
  <c r="E93" i="5"/>
  <c r="N11" i="5"/>
  <c r="N29" i="5"/>
  <c r="N60" i="5"/>
  <c r="N21" i="5"/>
  <c r="M84" i="5"/>
  <c r="N53" i="5"/>
  <c r="M90" i="5"/>
  <c r="M38" i="5"/>
  <c r="N42" i="5"/>
  <c r="M24" i="5"/>
  <c r="N48" i="5"/>
  <c r="E11" i="5"/>
  <c r="M4" i="5"/>
  <c r="E72" i="5"/>
  <c r="N69" i="5"/>
  <c r="E33" i="5"/>
  <c r="E83" i="5"/>
  <c r="M3" i="5"/>
  <c r="M7" i="5"/>
  <c r="E54" i="5"/>
  <c r="M98" i="5"/>
  <c r="E17" i="5"/>
  <c r="N27" i="5"/>
  <c r="E41" i="5"/>
  <c r="M40" i="5"/>
  <c r="E55" i="5"/>
  <c r="M31" i="5"/>
  <c r="M58" i="5"/>
  <c r="E84" i="5"/>
  <c r="N91" i="5"/>
  <c r="M66" i="5"/>
  <c r="M9" i="5"/>
  <c r="E78" i="5"/>
  <c r="N79" i="5"/>
  <c r="N58" i="5"/>
  <c r="M2" i="5"/>
  <c r="M75" i="5"/>
  <c r="M96" i="5"/>
  <c r="N87" i="5"/>
  <c r="M62" i="5"/>
  <c r="E50" i="5"/>
  <c r="M95" i="5"/>
  <c r="M44" i="5"/>
  <c r="N24" i="5"/>
  <c r="M51" i="5"/>
  <c r="M15" i="5"/>
  <c r="N101" i="5"/>
  <c r="M68" i="5"/>
  <c r="E85" i="5"/>
  <c r="N28" i="5"/>
  <c r="N56" i="5"/>
  <c r="M29" i="5"/>
  <c r="E49" i="5"/>
  <c r="M76" i="5"/>
  <c r="N98" i="5"/>
  <c r="E68" i="5"/>
  <c r="M56" i="5"/>
  <c r="M12" i="5"/>
  <c r="N100" i="5"/>
  <c r="N99" i="5"/>
  <c r="M85" i="5"/>
  <c r="E32" i="5"/>
  <c r="E63" i="5"/>
  <c r="N61" i="5"/>
  <c r="N43" i="5"/>
  <c r="E15" i="5"/>
  <c r="N22" i="5"/>
  <c r="M94" i="5"/>
  <c r="N72" i="5"/>
  <c r="M87" i="5"/>
  <c r="M46" i="5"/>
  <c r="M11" i="5"/>
  <c r="N67" i="5"/>
  <c r="M72" i="5"/>
  <c r="M20" i="5"/>
  <c r="E25" i="5"/>
  <c r="N3" i="5"/>
  <c r="N70" i="5"/>
  <c r="E89" i="5"/>
  <c r="E46" i="5"/>
  <c r="M81" i="5"/>
  <c r="E7" i="5"/>
  <c r="M80" i="5"/>
  <c r="E37" i="5"/>
  <c r="N50" i="5"/>
  <c r="E82" i="5"/>
  <c r="E94" i="5"/>
  <c r="N77" i="5"/>
  <c r="E79" i="5"/>
  <c r="E70" i="5"/>
  <c r="E35" i="5"/>
  <c r="N59" i="5"/>
  <c r="E101" i="5"/>
  <c r="E13" i="5"/>
  <c r="M16" i="5"/>
  <c r="E12" i="5"/>
  <c r="N84" i="5"/>
  <c r="M78" i="5"/>
  <c r="M54" i="5"/>
  <c r="M13" i="5"/>
  <c r="N51" i="5"/>
  <c r="N94" i="5"/>
  <c r="M65" i="5"/>
  <c r="M83" i="5"/>
  <c r="E5" i="5"/>
  <c r="N10" i="5"/>
  <c r="E45" i="5"/>
  <c r="E31" i="5"/>
  <c r="N9" i="5"/>
  <c r="M39" i="5"/>
  <c r="M100" i="5"/>
  <c r="N97" i="5"/>
  <c r="E69" i="5"/>
  <c r="E26" i="5"/>
  <c r="M28" i="5"/>
  <c r="N44" i="5"/>
  <c r="N92" i="5"/>
  <c r="M71" i="5"/>
  <c r="E96" i="5"/>
  <c r="N12" i="5"/>
  <c r="E51" i="5"/>
  <c r="N16" i="5"/>
  <c r="N88" i="5"/>
  <c r="N32" i="5"/>
  <c r="N36" i="5"/>
  <c r="N73" i="5"/>
  <c r="M22" i="5"/>
  <c r="E20" i="5"/>
  <c r="N14" i="5"/>
  <c r="E73" i="5"/>
  <c r="M63" i="5"/>
  <c r="N19" i="5"/>
  <c r="M43" i="5"/>
  <c r="E77" i="5"/>
  <c r="N40" i="5"/>
  <c r="M53" i="5"/>
  <c r="E21" i="5"/>
  <c r="N78" i="5"/>
  <c r="M92" i="5"/>
  <c r="M57" i="5"/>
  <c r="E2" i="5"/>
  <c r="E92" i="5"/>
  <c r="E42" i="5"/>
  <c r="N38" i="5"/>
  <c r="N2" i="5"/>
  <c r="E23" i="5"/>
  <c r="N75" i="5"/>
  <c r="M49" i="5"/>
  <c r="N57" i="5"/>
  <c r="E87" i="5"/>
  <c r="E61" i="5"/>
  <c r="M88" i="5"/>
  <c r="M6" i="5"/>
  <c r="M23" i="5"/>
  <c r="M18" i="5"/>
  <c r="N64" i="5"/>
  <c r="E75" i="5"/>
  <c r="M101" i="5"/>
  <c r="M48" i="5"/>
  <c r="N45" i="5"/>
  <c r="E38" i="5"/>
  <c r="N7" i="5"/>
  <c r="N5" i="5"/>
  <c r="N54" i="5"/>
  <c r="N26" i="5"/>
  <c r="E6" i="5"/>
  <c r="E97" i="5"/>
  <c r="M37" i="5"/>
  <c r="N15" i="5"/>
  <c r="E28" i="5"/>
  <c r="N20" i="5"/>
  <c r="E88" i="5"/>
  <c r="N65" i="5"/>
  <c r="M50" i="5"/>
  <c r="N46" i="5"/>
  <c r="N90" i="5"/>
  <c r="E18" i="5"/>
  <c r="N96" i="5"/>
  <c r="E16" i="5"/>
  <c r="M70" i="5"/>
  <c r="M69" i="5"/>
  <c r="E27" i="5"/>
  <c r="N23" i="5"/>
  <c r="N37" i="5"/>
  <c r="E58" i="5"/>
  <c r="E74" i="5"/>
  <c r="N68" i="5"/>
  <c r="N81" i="5"/>
  <c r="N55" i="5"/>
  <c r="E67" i="5"/>
  <c r="M25" i="5"/>
  <c r="E43" i="5"/>
  <c r="E76" i="5"/>
  <c r="E44" i="5"/>
  <c r="N85" i="5"/>
  <c r="M32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J34" i="5"/>
  <c r="L53" i="5"/>
  <c r="J27" i="5"/>
  <c r="L33" i="5"/>
  <c r="L81" i="5"/>
  <c r="J4" i="5"/>
  <c r="J84" i="5"/>
  <c r="J87" i="5"/>
  <c r="J90" i="5"/>
  <c r="J59" i="5"/>
  <c r="L68" i="5"/>
  <c r="J25" i="5"/>
  <c r="L54" i="5"/>
  <c r="J16" i="5"/>
  <c r="L55" i="5"/>
  <c r="L76" i="5"/>
  <c r="J40" i="5"/>
  <c r="J96" i="5"/>
  <c r="J57" i="5"/>
  <c r="L21" i="5"/>
  <c r="L44" i="5"/>
  <c r="J94" i="5"/>
  <c r="J58" i="5"/>
  <c r="J50" i="5"/>
  <c r="L17" i="5"/>
  <c r="L4" i="5"/>
  <c r="J8" i="5"/>
  <c r="J61" i="5"/>
  <c r="J55" i="5"/>
  <c r="J6" i="5"/>
  <c r="J67" i="5"/>
  <c r="L10" i="5"/>
  <c r="J46" i="5"/>
  <c r="L26" i="5"/>
  <c r="L95" i="5"/>
  <c r="L78" i="5"/>
  <c r="J92" i="5"/>
  <c r="L87" i="5"/>
  <c r="L90" i="5"/>
  <c r="J11" i="5"/>
  <c r="L79" i="5"/>
  <c r="J74" i="5"/>
  <c r="L89" i="5"/>
  <c r="J18" i="5"/>
  <c r="L64" i="5"/>
  <c r="J38" i="5"/>
  <c r="J9" i="5"/>
  <c r="L29" i="5"/>
  <c r="J37" i="5"/>
  <c r="L16" i="5"/>
  <c r="L28" i="5"/>
  <c r="L47" i="5"/>
  <c r="L99" i="5"/>
  <c r="L66" i="5"/>
  <c r="L11" i="5"/>
  <c r="J73" i="5"/>
  <c r="L36" i="5"/>
  <c r="J23" i="5"/>
  <c r="J14" i="5"/>
  <c r="L59" i="5"/>
  <c r="L52" i="5"/>
  <c r="J75" i="5"/>
  <c r="L77" i="5"/>
  <c r="L23" i="5"/>
  <c r="L46" i="5"/>
  <c r="L84" i="5"/>
  <c r="J41" i="5"/>
  <c r="J71" i="5"/>
  <c r="L72" i="5"/>
  <c r="J13" i="5"/>
  <c r="J77" i="5"/>
  <c r="J88" i="5"/>
  <c r="L24" i="5"/>
  <c r="L94" i="5"/>
  <c r="J100" i="5"/>
  <c r="L25" i="5"/>
  <c r="L19" i="5"/>
  <c r="L100" i="5"/>
  <c r="J66" i="5"/>
  <c r="J19" i="5"/>
  <c r="L3" i="5"/>
  <c r="J43" i="5"/>
  <c r="J3" i="5"/>
  <c r="L60" i="5"/>
  <c r="J68" i="5"/>
  <c r="J32" i="5"/>
  <c r="J53" i="5"/>
  <c r="L63" i="5"/>
  <c r="J35" i="5"/>
  <c r="J89" i="5"/>
  <c r="L85" i="5"/>
  <c r="L40" i="5"/>
  <c r="J5" i="5"/>
  <c r="J15" i="5"/>
  <c r="L13" i="5"/>
  <c r="L74" i="5"/>
  <c r="J33" i="5"/>
  <c r="J28" i="5"/>
  <c r="L14" i="5"/>
  <c r="L37" i="5"/>
  <c r="L70" i="5"/>
  <c r="L73" i="5"/>
  <c r="L75" i="5"/>
  <c r="J49" i="5"/>
  <c r="J81" i="5"/>
  <c r="J78" i="5"/>
  <c r="L51" i="5"/>
  <c r="J60" i="5"/>
  <c r="L65" i="5"/>
  <c r="L41" i="5"/>
  <c r="L88" i="5"/>
  <c r="L18" i="5"/>
  <c r="J98" i="5"/>
  <c r="L93" i="5"/>
  <c r="L7" i="5"/>
  <c r="L80" i="5"/>
  <c r="L101" i="5"/>
  <c r="L62" i="5"/>
  <c r="L8" i="5"/>
  <c r="L57" i="5"/>
  <c r="J69" i="5"/>
  <c r="L34" i="5"/>
  <c r="J39" i="5"/>
  <c r="L5" i="5"/>
  <c r="J48" i="5"/>
  <c r="L71" i="5"/>
  <c r="J45" i="5"/>
  <c r="J31" i="5"/>
  <c r="J63" i="5"/>
  <c r="L2" i="5"/>
  <c r="L38" i="5"/>
  <c r="L86" i="5"/>
  <c r="J54" i="5"/>
  <c r="J62" i="5"/>
  <c r="J10" i="5"/>
  <c r="J26" i="5"/>
  <c r="L32" i="5"/>
  <c r="J47" i="5"/>
  <c r="J72" i="5"/>
  <c r="J44" i="5"/>
  <c r="J82" i="5"/>
  <c r="J85" i="5"/>
  <c r="L49" i="5"/>
  <c r="L98" i="5"/>
  <c r="J17" i="5"/>
  <c r="L91" i="5"/>
  <c r="L48" i="5"/>
  <c r="J80" i="5"/>
  <c r="J24" i="5"/>
  <c r="J83" i="5"/>
  <c r="J79" i="5"/>
  <c r="J21" i="5"/>
  <c r="L6" i="5"/>
  <c r="L31" i="5"/>
  <c r="J91" i="5"/>
  <c r="J22" i="5"/>
  <c r="L42" i="5"/>
  <c r="L67" i="5"/>
  <c r="L12" i="5"/>
  <c r="J95" i="5"/>
  <c r="L20" i="5"/>
  <c r="J99" i="5"/>
  <c r="J36" i="5"/>
  <c r="L15" i="5"/>
  <c r="L50" i="5"/>
  <c r="J65" i="5"/>
  <c r="J97" i="5"/>
  <c r="J86" i="5"/>
  <c r="J64" i="5"/>
  <c r="L61" i="5"/>
  <c r="J29" i="5"/>
  <c r="J42" i="5"/>
  <c r="L22" i="5"/>
  <c r="L92" i="5"/>
  <c r="J30" i="5"/>
  <c r="J7" i="5"/>
  <c r="L82" i="5"/>
  <c r="L39" i="5"/>
  <c r="L58" i="5"/>
  <c r="J93" i="5"/>
  <c r="J51" i="5"/>
  <c r="L35" i="5"/>
  <c r="L30" i="5"/>
  <c r="L43" i="5"/>
  <c r="L83" i="5"/>
  <c r="J2" i="5"/>
  <c r="J12" i="5"/>
  <c r="J56" i="5"/>
  <c r="L27" i="5"/>
  <c r="L97" i="5"/>
  <c r="J70" i="5"/>
  <c r="L96" i="5"/>
  <c r="L69" i="5"/>
  <c r="J52" i="5"/>
  <c r="J101" i="5"/>
  <c r="L45" i="5"/>
  <c r="L9" i="5"/>
  <c r="J20" i="5"/>
  <c r="L56" i="5"/>
  <c r="J76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4" i="5"/>
  <c r="K11" i="5"/>
  <c r="K22" i="5"/>
  <c r="K57" i="5"/>
  <c r="K18" i="5"/>
  <c r="K79" i="5"/>
  <c r="K45" i="5"/>
  <c r="K48" i="5"/>
  <c r="K39" i="5"/>
  <c r="K10" i="5"/>
  <c r="K28" i="5"/>
  <c r="K71" i="5"/>
  <c r="K58" i="5"/>
  <c r="K44" i="5"/>
  <c r="K64" i="5"/>
  <c r="K94" i="5"/>
  <c r="K24" i="5"/>
  <c r="K101" i="5"/>
  <c r="K89" i="5"/>
  <c r="K42" i="5"/>
  <c r="K41" i="5"/>
  <c r="K67" i="5"/>
  <c r="K93" i="5"/>
  <c r="K15" i="5"/>
  <c r="K83" i="5"/>
  <c r="K51" i="5"/>
  <c r="K53" i="5"/>
  <c r="K73" i="5"/>
  <c r="K40" i="5"/>
  <c r="K80" i="5"/>
  <c r="K65" i="5"/>
  <c r="K90" i="5"/>
  <c r="K47" i="5"/>
  <c r="K3" i="5"/>
  <c r="K70" i="5"/>
  <c r="K49" i="5"/>
  <c r="K19" i="5"/>
  <c r="K88" i="5"/>
  <c r="K100" i="5"/>
  <c r="K84" i="5"/>
  <c r="K68" i="5"/>
  <c r="K59" i="5"/>
  <c r="K30" i="5"/>
  <c r="K14" i="5"/>
  <c r="K20" i="5"/>
  <c r="K62" i="5"/>
  <c r="K77" i="5"/>
  <c r="K46" i="5"/>
  <c r="K99" i="5"/>
  <c r="K38" i="5"/>
  <c r="K72" i="5"/>
  <c r="K12" i="5"/>
  <c r="K74" i="5"/>
  <c r="K9" i="5"/>
  <c r="K97" i="5"/>
  <c r="K81" i="5"/>
  <c r="K78" i="5"/>
  <c r="K34" i="5"/>
  <c r="K6" i="5"/>
  <c r="K26" i="5"/>
  <c r="K13" i="5"/>
  <c r="K85" i="5"/>
  <c r="K69" i="5"/>
  <c r="K25" i="5"/>
  <c r="K29" i="5"/>
  <c r="K52" i="5"/>
  <c r="K33" i="5"/>
  <c r="K56" i="5"/>
  <c r="K95" i="5"/>
  <c r="K98" i="5"/>
  <c r="K91" i="5"/>
  <c r="K50" i="5"/>
  <c r="K35" i="5"/>
  <c r="K8" i="5"/>
  <c r="K63" i="5"/>
  <c r="K75" i="5"/>
  <c r="K54" i="5"/>
  <c r="K31" i="5"/>
  <c r="K43" i="5"/>
  <c r="K7" i="5"/>
  <c r="K61" i="5"/>
  <c r="K23" i="5"/>
  <c r="K76" i="5"/>
  <c r="K60" i="5"/>
  <c r="K87" i="5"/>
  <c r="K16" i="5"/>
  <c r="K96" i="5"/>
  <c r="K17" i="5"/>
  <c r="K55" i="5"/>
  <c r="K32" i="5"/>
  <c r="K82" i="5"/>
  <c r="K21" i="5"/>
  <c r="K37" i="5"/>
  <c r="K86" i="5"/>
  <c r="K36" i="5"/>
  <c r="K5" i="5"/>
  <c r="K27" i="5"/>
  <c r="K92" i="5"/>
  <c r="K66" i="5"/>
  <c r="K2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57" i="5"/>
  <c r="I16" i="5"/>
  <c r="I94" i="5"/>
  <c r="I65" i="5"/>
  <c r="I83" i="5"/>
  <c r="I52" i="5"/>
  <c r="I62" i="5"/>
  <c r="I18" i="5"/>
  <c r="I73" i="5"/>
  <c r="I31" i="5"/>
  <c r="I42" i="5"/>
  <c r="I55" i="5"/>
  <c r="I23" i="5"/>
  <c r="I82" i="5"/>
  <c r="I47" i="5"/>
  <c r="I86" i="5"/>
  <c r="I96" i="5"/>
  <c r="I29" i="5"/>
  <c r="I37" i="5"/>
  <c r="I85" i="5"/>
  <c r="I100" i="5"/>
  <c r="I11" i="5"/>
  <c r="I90" i="5"/>
  <c r="I60" i="5"/>
  <c r="I92" i="5"/>
  <c r="I76" i="5"/>
  <c r="I5" i="5"/>
  <c r="I58" i="5"/>
  <c r="I49" i="5"/>
  <c r="I74" i="5"/>
  <c r="I33" i="5"/>
  <c r="I89" i="5"/>
  <c r="I38" i="5"/>
  <c r="I20" i="5"/>
  <c r="I19" i="5"/>
  <c r="I43" i="5"/>
  <c r="I56" i="5"/>
  <c r="I101" i="5"/>
  <c r="I46" i="5"/>
  <c r="I9" i="5"/>
  <c r="I32" i="5"/>
  <c r="I27" i="5"/>
  <c r="I91" i="5"/>
  <c r="I48" i="5"/>
  <c r="I59" i="5"/>
  <c r="I67" i="5"/>
  <c r="I8" i="5"/>
  <c r="I78" i="5"/>
  <c r="I88" i="5"/>
  <c r="I99" i="5"/>
  <c r="I26" i="5"/>
  <c r="I2" i="5"/>
  <c r="I10" i="5"/>
  <c r="I93" i="5"/>
  <c r="I15" i="5"/>
  <c r="I97" i="5"/>
  <c r="I13" i="5"/>
  <c r="I80" i="5"/>
  <c r="I77" i="5"/>
  <c r="I70" i="5"/>
  <c r="I54" i="5"/>
  <c r="I36" i="5"/>
  <c r="I66" i="5"/>
  <c r="I30" i="5"/>
  <c r="I35" i="5"/>
  <c r="I4" i="5"/>
  <c r="I22" i="5"/>
  <c r="I84" i="5"/>
  <c r="I63" i="5"/>
  <c r="I87" i="5"/>
  <c r="I75" i="5"/>
  <c r="I68" i="5"/>
  <c r="I12" i="5"/>
  <c r="I72" i="5"/>
  <c r="I6" i="5"/>
  <c r="I28" i="5"/>
  <c r="I71" i="5"/>
  <c r="I44" i="5"/>
  <c r="I41" i="5"/>
  <c r="I17" i="5"/>
  <c r="I95" i="5"/>
  <c r="I7" i="5"/>
  <c r="I40" i="5"/>
  <c r="I51" i="5"/>
  <c r="I81" i="5"/>
  <c r="I98" i="5"/>
  <c r="I61" i="5"/>
  <c r="I79" i="5"/>
  <c r="I34" i="5"/>
  <c r="I69" i="5"/>
  <c r="I14" i="5"/>
  <c r="I64" i="5"/>
  <c r="I53" i="5"/>
  <c r="I45" i="5"/>
  <c r="I25" i="5"/>
  <c r="I3" i="5"/>
  <c r="I39" i="5"/>
  <c r="I50" i="5"/>
  <c r="I21" i="5"/>
  <c r="I24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62" i="5"/>
  <c r="F49" i="5"/>
  <c r="F19" i="5"/>
  <c r="F81" i="5"/>
  <c r="F11" i="5"/>
  <c r="F75" i="5"/>
  <c r="F90" i="5"/>
  <c r="F100" i="5"/>
  <c r="F70" i="5"/>
  <c r="F87" i="5"/>
  <c r="F46" i="5"/>
  <c r="F50" i="5"/>
  <c r="F15" i="5"/>
  <c r="F99" i="5"/>
  <c r="F71" i="5"/>
  <c r="F77" i="5"/>
  <c r="F86" i="5"/>
  <c r="F26" i="5"/>
  <c r="F43" i="5"/>
  <c r="F53" i="5"/>
  <c r="F74" i="5"/>
  <c r="F25" i="5"/>
  <c r="F88" i="5"/>
  <c r="F82" i="5"/>
  <c r="F10" i="5"/>
  <c r="F64" i="5"/>
  <c r="F3" i="5"/>
  <c r="F56" i="5"/>
  <c r="F48" i="5"/>
  <c r="F29" i="5"/>
  <c r="F21" i="5"/>
  <c r="F84" i="5"/>
  <c r="F85" i="5"/>
  <c r="F18" i="5"/>
  <c r="F35" i="5"/>
  <c r="F54" i="5"/>
  <c r="F12" i="5"/>
  <c r="F32" i="5"/>
  <c r="F97" i="5"/>
  <c r="F78" i="5"/>
  <c r="F68" i="5"/>
  <c r="F16" i="5"/>
  <c r="F30" i="5"/>
  <c r="F61" i="5"/>
  <c r="F72" i="5"/>
  <c r="F13" i="5"/>
  <c r="F14" i="5"/>
  <c r="F63" i="5"/>
  <c r="F34" i="5"/>
  <c r="F65" i="5"/>
  <c r="F20" i="5"/>
  <c r="F59" i="5"/>
  <c r="F41" i="5"/>
  <c r="F69" i="5"/>
  <c r="F51" i="5"/>
  <c r="F31" i="5"/>
  <c r="F17" i="5"/>
  <c r="F5" i="5"/>
  <c r="F76" i="5"/>
  <c r="F96" i="5"/>
  <c r="F2" i="5"/>
  <c r="F23" i="5"/>
  <c r="F24" i="5"/>
  <c r="F40" i="5"/>
  <c r="F98" i="5"/>
  <c r="F38" i="5"/>
  <c r="F22" i="5"/>
  <c r="F60" i="5"/>
  <c r="F57" i="5"/>
  <c r="F92" i="5"/>
  <c r="F83" i="5"/>
  <c r="F37" i="5"/>
  <c r="F8" i="5"/>
  <c r="F45" i="5"/>
  <c r="F80" i="5"/>
  <c r="F79" i="5"/>
  <c r="F73" i="5"/>
  <c r="F42" i="5"/>
  <c r="F58" i="5"/>
  <c r="F39" i="5"/>
  <c r="F7" i="5"/>
  <c r="F67" i="5"/>
  <c r="F47" i="5"/>
  <c r="F94" i="5"/>
  <c r="F55" i="5"/>
  <c r="F27" i="5"/>
  <c r="F9" i="5"/>
  <c r="F28" i="5"/>
  <c r="F89" i="5"/>
  <c r="F91" i="5"/>
  <c r="F95" i="5"/>
  <c r="F33" i="5"/>
  <c r="F6" i="5"/>
  <c r="F66" i="5"/>
  <c r="F36" i="5"/>
  <c r="F4" i="5"/>
  <c r="F52" i="5"/>
  <c r="F93" i="5"/>
  <c r="F101" i="5"/>
  <c r="F44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69" i="5"/>
  <c r="H40" i="5"/>
  <c r="H45" i="5"/>
  <c r="H82" i="5"/>
  <c r="H98" i="5"/>
  <c r="H19" i="5"/>
  <c r="H62" i="5"/>
  <c r="H46" i="5"/>
  <c r="H81" i="5"/>
  <c r="H56" i="5"/>
  <c r="H15" i="5"/>
  <c r="H47" i="5"/>
  <c r="H5" i="5"/>
  <c r="H16" i="5"/>
  <c r="H74" i="5"/>
  <c r="H71" i="5"/>
  <c r="H42" i="5"/>
  <c r="H37" i="5"/>
  <c r="H30" i="5"/>
  <c r="H66" i="5"/>
  <c r="H52" i="5"/>
  <c r="H92" i="5"/>
  <c r="H21" i="5"/>
  <c r="H51" i="5"/>
  <c r="H89" i="5"/>
  <c r="H57" i="5"/>
  <c r="H2" i="5"/>
  <c r="H77" i="5"/>
  <c r="H55" i="5"/>
  <c r="H101" i="5"/>
  <c r="H50" i="5"/>
  <c r="H26" i="5"/>
  <c r="H73" i="5"/>
  <c r="H86" i="5"/>
  <c r="H53" i="5"/>
  <c r="H63" i="5"/>
  <c r="H32" i="5"/>
  <c r="H97" i="5"/>
  <c r="H12" i="5"/>
  <c r="H31" i="5"/>
  <c r="H87" i="5"/>
  <c r="H41" i="5"/>
  <c r="H48" i="5"/>
  <c r="H90" i="5"/>
  <c r="H29" i="5"/>
  <c r="H20" i="5"/>
  <c r="H67" i="5"/>
  <c r="H88" i="5"/>
  <c r="H24" i="5"/>
  <c r="H18" i="5"/>
  <c r="H65" i="5"/>
  <c r="H70" i="5"/>
  <c r="H9" i="5"/>
  <c r="H33" i="5"/>
  <c r="H80" i="5"/>
  <c r="H39" i="5"/>
  <c r="H78" i="5"/>
  <c r="H14" i="5"/>
  <c r="H79" i="5"/>
  <c r="H64" i="5"/>
  <c r="H84" i="5"/>
  <c r="H38" i="5"/>
  <c r="H17" i="5"/>
  <c r="H61" i="5"/>
  <c r="H10" i="5"/>
  <c r="H76" i="5"/>
  <c r="H54" i="5"/>
  <c r="H23" i="5"/>
  <c r="H95" i="5"/>
  <c r="H60" i="5"/>
  <c r="H3" i="5"/>
  <c r="H34" i="5"/>
  <c r="H27" i="5"/>
  <c r="H7" i="5"/>
  <c r="H25" i="5"/>
  <c r="H44" i="5"/>
  <c r="H43" i="5"/>
  <c r="H35" i="5"/>
  <c r="H94" i="5"/>
  <c r="H100" i="5"/>
  <c r="H28" i="5"/>
  <c r="H49" i="5"/>
  <c r="H6" i="5"/>
  <c r="H11" i="5"/>
  <c r="H36" i="5"/>
  <c r="H75" i="5"/>
  <c r="H68" i="5"/>
  <c r="H93" i="5"/>
  <c r="H99" i="5"/>
  <c r="H96" i="5"/>
  <c r="H58" i="5"/>
  <c r="H59" i="5"/>
  <c r="H85" i="5"/>
  <c r="H4" i="5"/>
  <c r="H8" i="5"/>
  <c r="H83" i="5"/>
  <c r="H91" i="5"/>
  <c r="H22" i="5"/>
  <c r="H13" i="5"/>
  <c r="H72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<sst xmlns="http://schemas.openxmlformats.org/spreadsheetml/2006/main" count="373" uniqueCount="272">
  <si>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</si>
  <si>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</si>
  <si>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</si>
  <si>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</si>
  <si>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</si>
  <si>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</si>
  <si>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</si>
  <si>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</si>
  <si>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</si>
  <si>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</si>
  <si>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</si>
  <si>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</si>
  <si>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</si>
  <si>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</si>
  <si>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</si>
  <si>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</si>
  <si>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</si>
  <si>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</si>
  <si>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</si>
  <si>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</si>
  <si>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</si>
  <si>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</si>
  <si>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</si>
  <si>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</si>
  <si>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</si>
  <si>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</si>
  <si>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</si>
  <si>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</si>
  <si>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</si>
  <si>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</si>
  <si>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</si>
  <si>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</si>
  <si>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</si>
  <si>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</si>
  <si>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</si>
  <si>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</si>
  <si>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</si>
  <si>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</si>
  <si>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</si>
  <si>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</si>
  <si>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</si>
  <si>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</si>
  <si>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</si>
  <si>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</si>
  <si>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</si>
  <si>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</si>
  <si>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</si>
  <si>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</si>
  <si>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</si>
  <si>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</si>
  <si>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</si>
  <si>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</si>
  <si>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</si>
  <si>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</si>
  <si>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</si>
  <si>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</si>
  <si>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</si>
  <si>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</si>
  <si>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</si>
  <si>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</si>
  <si>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</si>
  <si>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</si>
  <si>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</si>
  <si>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</si>
  <si>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</si>
  <si>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</si>
  <si>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</si>
  <si>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</si>
  <si>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</si>
  <si>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</si>
  <si>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</si>
  <si>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</si>
  <si>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</si>
  <si>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</si>
  <si>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</si>
  <si>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</si>
  <si>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</si>
  <si>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</si>
  <si>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</si>
  <si>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</si>
  <si>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</si>
  <si>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</si>
  <si>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</si>
  <si>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</si>
  <si>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</si>
  <si>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</si>
  <si>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</si>
  <si>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</si>
  <si>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</si>
  <si>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</si>
  <si>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</si>
  <si>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</si>
  <si>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</si>
  <si>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</si>
  <si>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</si>
  <si>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</si>
  <si>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</si>
  <si>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</si>
  <si>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</si>
  <si>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</si>
  <si>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</si>
  <si>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</si>
  <si>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</si>
  <si>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</si>
  <si>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</si>
  <si>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</si>
  <si>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</si>
  <si>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</si>
  <si>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</si>
  <si>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</si>
  <si>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</si>
  <si>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</si>
  <si>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</si>
  <si>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</si>
  <si>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</si>
  <si>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</si>
  <si>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</si>
  <si>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</si>
  <si>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</si>
  <si>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</si>
  <si>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</si>
  <si>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</si>
  <si>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</si>
  <si>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</si>
  <si>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</si>
  <si>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</si>
  <si>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</si>
  <si>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</si>
  <si>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</si>
  <si>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</si>
  <si>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</si>
  <si>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</si>
  <si>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</si>
  <si>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</si>
  <si>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</si>
  <si>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</si>
  <si>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</si>
  <si>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</si>
  <si>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</si>
  <si>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</si>
  <si>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</si>
  <si>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</si>
  <si>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</si>
  <si>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</si>
  <si>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</si>
  <si>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</si>
  <si>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</si>
  <si>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</si>
  <si>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</si>
  <si>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</si>
  <si>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</si>
  <si>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</si>
  <si>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</si>
  <si>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</si>
  <si>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</si>
  <si>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</si>
  <si>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</si>
  <si>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</si>
  <si>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</si>
  <si>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</si>
  <si>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</si>
  <si>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</si>
  <si>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</si>
  <si>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</si>
  <si>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</si>
  <si>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</si>
  <si>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</si>
  <si>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</si>
  <si>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</si>
  <si>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</si>
  <si>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</si>
  <si>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</si>
  <si>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</si>
  <si>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</si>
  <si>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</si>
  <si>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</si>
  <si>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</si>
  <si>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</si>
  <si>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</si>
  <si>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</si>
  <si>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</si>
  <si>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</si>
  <si>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</si>
  <si>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</si>
  <si>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</si>
  <si>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</si>
  <si>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</si>
  <si>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</si>
  <si>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</si>
  <si>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</si>
  <si>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</si>
  <si>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</si>
  <si>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</si>
  <si>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</si>
  <si>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</si>
  <si>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</si>
  <si>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</si>
  <si>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</si>
  <si>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</si>
  <si>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</si>
  <si>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</si>
  <si>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</si>
  <si>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</si>
  <si>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</si>
  <si>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</si>
  <si>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</si>
  <si>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</si>
  <si>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</si>
  <si>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</si>
  <si>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</si>
  <si>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</si>
  <si>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</si>
  <si>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</si>
  <si>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</si>
  <si>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</si>
  <si>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</si>
  <si>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</si>
  <si>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</si>
  <si>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Ing. Jenny Ruiz</t>
  </si>
  <si>
    <t>Req-001</t>
  </si>
  <si>
    <t>Req-002</t>
  </si>
  <si>
    <t>Req-003</t>
  </si>
  <si>
    <t>Req-004</t>
  </si>
  <si>
    <t>Req-005</t>
  </si>
  <si>
    <t>Entrevista Revision del programa</t>
  </si>
  <si>
    <t xml:space="preserve"> Reunion con el cliente </t>
  </si>
  <si>
    <t>Creacion de la matriz de usuario</t>
  </si>
  <si>
    <t>Entrevista Cambios de RF</t>
  </si>
  <si>
    <t>Santiago Chafla</t>
  </si>
  <si>
    <t>Anthony Guaycha</t>
  </si>
  <si>
    <t>Janine Cayo</t>
  </si>
  <si>
    <t>Edmir Madrid</t>
  </si>
  <si>
    <t>Chafla, Gaycha, Cayo, Madrid</t>
  </si>
  <si>
    <t>Realizar una reunión con el cliente para aclarar necesidades, restricciones y expectativas del sistema.</t>
  </si>
  <si>
    <t>Crear la matriz de historias de usuario, relacionando actores, necesidades, prioridades y criterios de aceptación.</t>
  </si>
  <si>
    <t>Actualizar los requerimientos funcionales a partir de los cambios identificados durante la entrevista.</t>
  </si>
  <si>
    <t>Desarrollar el requerimiento Req-001 según la prioridad asignada y documentar su avance en el tablero.</t>
  </si>
  <si>
    <t>Desarrollar el requerimiento Req-002, verificando que cumpla con los criterios definidos en el backlog.</t>
  </si>
  <si>
    <t>Desarrollar el requerimiento Req-003, registrando avances, responsable y estado dentro del tablero Kanban.</t>
  </si>
  <si>
    <t>Desarrollar el requerimiento Req-004, asegurando su alineación con las historias de usuario correspondientes.</t>
  </si>
  <si>
    <t>Desarrollar el requerimiento Req-005 y preparar la evidencia necesaria para su revisión.</t>
  </si>
  <si>
    <t>Entrevistar al cliente para revisar el programa, validar funcionalidades implementadas y recopilar observaciones finales.</t>
  </si>
  <si>
    <t>Organizacion del sprint 2 en jira</t>
  </si>
  <si>
    <t>Req-006</t>
  </si>
  <si>
    <t>Req-007</t>
  </si>
  <si>
    <t>Req-008</t>
  </si>
  <si>
    <t>Req-009</t>
  </si>
  <si>
    <t>Organizar el Sprint 2 en jira</t>
  </si>
  <si>
    <t>Desarrollar el requerimiento Req-006 según la prioridad asignada y documentar su avance en el tablero.</t>
  </si>
  <si>
    <t>Desarrollar el requerimiento Req-007 según la prioridad asignada y documentar su avance en el tablero.</t>
  </si>
  <si>
    <t>Desarrollar el requerimiento Req-008 según la prioridad asignada y documentar su avance en el tablero.</t>
  </si>
  <si>
    <t>Desarrollar el requerimiento Req-009 según la prioridad asignada y documentar su avance en el tablero.</t>
  </si>
  <si>
    <t>Req-010</t>
  </si>
  <si>
    <t>Req-011</t>
  </si>
  <si>
    <t>Req-012</t>
  </si>
  <si>
    <t>Req-013</t>
  </si>
  <si>
    <t>Creacion de cajas blancas y negras Sprint 1</t>
  </si>
  <si>
    <t>Revision de errores del Sprint 1</t>
  </si>
  <si>
    <t>Revision de errores del Sprint 2</t>
  </si>
  <si>
    <t>Creacion de cajas blancas y negras Sprint 2</t>
  </si>
  <si>
    <t>Revision de errores del Sprint 3</t>
  </si>
  <si>
    <t>Creacion de cajas blancas y negras Sprint 3</t>
  </si>
  <si>
    <t>Entrevista con el Prodcut Owner Sprint 3</t>
  </si>
  <si>
    <t>Elaborar de cajas blancas y negras del Sprint 1</t>
  </si>
  <si>
    <t>Revision de errores del Sprint 1 de parte del Tester</t>
  </si>
  <si>
    <t>Revision de errores del Sprint 2  de parte del Tester</t>
  </si>
  <si>
    <t>Elaborar de cajas blancas y negras Sprint 2</t>
  </si>
  <si>
    <t>Desarrollar el requerimiento Req-010 según la prioridad asignada y documentar su avance en el tablero.</t>
  </si>
  <si>
    <t>Desarrollar el requerimiento Req-011 según la prioridad asignada y documentar su avance en el tablero.</t>
  </si>
  <si>
    <t>Desarrollar el requerimiento Req-012 según la prioridad asignada y documentar su avance en el tablero.</t>
  </si>
  <si>
    <t>Desarrollar el requerimiento Req-013 según la prioridad asignada y documentar su avance en el tablero.</t>
  </si>
  <si>
    <t>Revision de errores del Sprint 3 de parte del 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</si>
</sst>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70" zoomScaleNormal="70" workbookViewId="0">
      <pane ySplit="4" topLeftCell="A5" activePane="bottomLeft" state="frozen"/>
      <selection pane="bottomLeft" activeCell="M10" sqref="M10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16" t="str">
        <f>Configura!$B$2</f>
        <v xml:space="preserve">                Tablero KANBAN v3 ©️            </v>
      </c>
      <c r="C2" s="116"/>
      <c r="D2" s="11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26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46023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5" t="str" cm="1">
        <f t="array" aca="1" ref="C4" ca="1">IFERROR(INDEX(Configura!$B$9:$B$18,B4)&amp;" ("&amp;SUMIF(misEstados,B4,misFiltros)&amp;" de "&amp;SUM(misFiltros)&amp;")","")</f>
        <v>POR HACER (0 de 26)</v>
      </c>
      <c r="D4" s="115"/>
      <c r="E4" s="115"/>
      <c r="F4" s="9" t="s">
        <v>0</v>
      </c>
      <c r="G4" s="25">
        <f>B4+1</f>
        <v>2</v>
      </c>
      <c r="H4" s="115" t="str" cm="1">
        <f t="array" aca="1" ref="H4" ca="1">IFERROR(INDEX(Configura!$B$9:$B$18,G4)&amp;" ("&amp;SUMIF(misEstados,G4,misFiltros)&amp;" de "&amp;SUM(misFiltros)&amp;")","")</f>
        <v>EN PROGRESO (7 de 26)</v>
      </c>
      <c r="I4" s="115"/>
      <c r="J4" s="115"/>
      <c r="K4" s="9" t="s">
        <v>0</v>
      </c>
      <c r="L4" s="25">
        <f>G4+1</f>
        <v>3</v>
      </c>
      <c r="M4" s="115" t="str" cm="1">
        <f t="array" aca="1" ref="M4" ca="1">IFERROR(INDEX(Configura!$B$9:$B$18,L4)&amp;" ("&amp;SUMIF(misEstados,L4,misFiltros)&amp;" de "&amp;SUM(misFiltros)&amp;")","")</f>
        <v>EN ESPERA (0 de 26)</v>
      </c>
      <c r="N4" s="115"/>
      <c r="O4" s="115"/>
      <c r="P4" s="9" t="s">
        <v>0</v>
      </c>
      <c r="Q4" s="25">
        <f>L4+1</f>
        <v>4</v>
      </c>
      <c r="R4" s="115" t="str" cm="1">
        <f t="array" aca="1" ref="R4" ca="1">IFERROR(INDEX(Configura!$B$9:$B$18,Q4)&amp;" ("&amp;SUMIF(misEstados,Q4,misFiltros)&amp;" de "&amp;SUM(misFiltros)&amp;")","")</f>
        <v>COMPLETADO (19 de 26)</v>
      </c>
      <c r="S4" s="115"/>
      <c r="T4" s="115"/>
      <c r="U4" s="9" t="s">
        <v>0</v>
      </c>
      <c r="V4" s="25">
        <f>Q4+1</f>
        <v>5</v>
      </c>
      <c r="W4" s="115" t="str" cm="1">
        <f t="array" aca="1" ref="W4" ca="1">IFERROR(INDEX(Configura!$B$9:$B$18,V4)&amp;" ("&amp;SUMIF(misEstados,V4,misFiltros)&amp;" de "&amp;SUM(misFiltros)&amp;")","")</f>
        <v>ARCHIVADO (0 de 26)</v>
      </c>
      <c r="X4" s="115"/>
      <c r="Y4" s="115"/>
      <c r="Z4" s="10" t="s">
        <v>0</v>
      </c>
      <c r="AA4" s="25">
        <f>V4+1</f>
        <v>6</v>
      </c>
      <c r="AB4" s="115" t="str" cm="1">
        <f t="array" aca="1" ref="AB4" ca="1">IFERROR(INDEX(Configura!$B$9:$B$18,AA4)&amp;" ("&amp;SUMIF(misEstados,AA4,misFiltros)&amp;" de "&amp;SUM(misFiltros)&amp;")","")</f>
        <v>POR HACER (0 de 26)</v>
      </c>
      <c r="AC4" s="115"/>
      <c r="AD4" s="115"/>
      <c r="AE4" s="10" t="s">
        <v>0</v>
      </c>
      <c r="AF4" s="25">
        <f>AA4+1</f>
        <v>7</v>
      </c>
      <c r="AG4" s="115" t="str" cm="1">
        <f t="array" aca="1" ref="AG4" ca="1">IFERROR(INDEX(Configura!$B$9:$B$18,AF4)&amp;" ("&amp;SUMIF(misEstados,AF4,misFiltros)&amp;" de "&amp;SUM(misFiltros)&amp;")","")</f>
        <v>EN PROGRESO (0 de 26)</v>
      </c>
      <c r="AH4" s="115"/>
      <c r="AI4" s="115"/>
      <c r="AJ4" s="10" t="s">
        <v>0</v>
      </c>
      <c r="AK4" s="25">
        <f>AF4+1</f>
        <v>8</v>
      </c>
      <c r="AL4" s="115" t="str" cm="1">
        <f t="array" aca="1" ref="AL4" ca="1">IFERROR(INDEX(Configura!$B$9:$B$18,AK4)&amp;" ("&amp;SUMIF(misEstados,AK4,misFiltros)&amp;" de "&amp;SUM(misFiltros)&amp;")","")</f>
        <v xml:space="preserve"> (0 de 26)</v>
      </c>
      <c r="AM4" s="115"/>
      <c r="AN4" s="115"/>
      <c r="AO4" s="10" t="s">
        <v>0</v>
      </c>
      <c r="AP4" s="25">
        <f>AK4+1</f>
        <v>9</v>
      </c>
      <c r="AQ4" s="115" t="str" cm="1">
        <f t="array" aca="1" ref="AQ4" ca="1">IFERROR(INDEX(Configura!$B$9:$B$18,AP4)&amp;" ("&amp;SUMIF(misEstados,AP4,misFiltros)&amp;" de "&amp;SUM(misFiltros)&amp;")","")</f>
        <v xml:space="preserve"> (0 de 26)</v>
      </c>
      <c r="AR4" s="115"/>
      <c r="AS4" s="115"/>
      <c r="AT4" s="10" t="s">
        <v>0</v>
      </c>
      <c r="AU4" s="25">
        <f>AP4+1</f>
        <v>10</v>
      </c>
      <c r="AV4" s="115" t="str" cm="1">
        <f t="array" aca="1" ref="AV4" ca="1">IFERROR(INDEX(Configura!$B$9:$B$18,AU4)&amp;" ("&amp;SUMIF(misEstados,AU4,misFiltros)&amp;" de "&amp;SUM(misFiltros)&amp;")","")</f>
        <v xml:space="preserve"> (0 de 26)</v>
      </c>
      <c r="AW4" s="115"/>
      <c r="AX4" s="115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3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3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26:</v>
      </c>
      <c r="I6" s="113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Entrevista con el Prodcut Owner Sprint 3</v>
      </c>
      <c r="J6" s="113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3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3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19:</v>
      </c>
      <c r="S6" s="113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Creacion de cajas blancas y negras Sprint 2</v>
      </c>
      <c r="T6" s="113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3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3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3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3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3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3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3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3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3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3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3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3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3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3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3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Entrevistar al cliente para revisar el programa, validar funcionalidades implementadas y recopilar observaciones finales.</v>
      </c>
      <c r="J7" s="113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3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3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3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Elaborar de cajas blancas y negras Sprint 2</v>
      </c>
      <c r="T7" s="113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3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3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3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3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3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3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3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3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3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3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3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3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3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3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3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46208</v>
      </c>
      <c r="J8" s="113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3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3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3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46207</v>
      </c>
      <c r="T8" s="113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3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3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3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3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3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3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3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3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3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3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3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3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3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3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3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46208</v>
      </c>
      <c r="J9" s="113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3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3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3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46207</v>
      </c>
      <c r="T9" s="113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3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3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3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3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3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3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3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3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3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3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3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3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3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3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3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46208</v>
      </c>
      <c r="J10" s="113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3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3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3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46207</v>
      </c>
      <c r="T10" s="113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3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3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3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3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3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3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3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3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3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3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3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3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3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3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3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1 días</v>
      </c>
      <c r="J11" s="113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3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3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3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3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3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3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3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3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3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3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3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3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3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3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3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3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3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3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3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13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3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3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3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3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3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3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3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3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3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3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3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3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3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3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3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3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3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3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3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Chafla, Gaycha, Cayo, Madrid</v>
      </c>
      <c r="J13" s="113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3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3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3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Santiago Chafla</v>
      </c>
      <c r="T13" s="113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3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3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3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3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3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3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3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3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3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3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3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3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3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3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3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3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3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3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3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3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3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3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3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3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3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3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3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3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3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3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3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3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3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3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25:</v>
      </c>
      <c r="I15" s="113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Creacion de cajas blancas y negras Sprint 3</v>
      </c>
      <c r="J15" s="113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3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3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18:</v>
      </c>
      <c r="S15" s="113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Revision de errores del Sprint 2</v>
      </c>
      <c r="T15" s="113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3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3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3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3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3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3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3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3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3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3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3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3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3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3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13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Elaborar de cajas blancas y negras del Sprint 1</v>
      </c>
      <c r="J16" s="113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3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3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3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Revision de errores del Sprint 2  de parte del Tester</v>
      </c>
      <c r="T16" s="113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3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3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3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3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3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3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3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3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3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3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3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3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3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3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13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46207</v>
      </c>
      <c r="J17" s="113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3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3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3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46202</v>
      </c>
      <c r="T17" s="113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3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3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3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3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3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3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3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3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3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3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3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3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3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3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13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46207</v>
      </c>
      <c r="J18" s="113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3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3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3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46202</v>
      </c>
      <c r="T18" s="113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3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3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3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3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3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3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3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3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3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3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3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3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3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3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13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46207</v>
      </c>
      <c r="J19" s="113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3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3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3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46202</v>
      </c>
      <c r="T19" s="113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3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3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3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3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3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3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3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3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3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3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3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3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3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3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13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1 días</v>
      </c>
      <c r="J20" s="113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3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3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3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13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3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3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3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3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3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3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3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3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3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3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3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3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3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3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13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13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3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3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3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3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3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3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3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3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3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3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3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3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3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3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3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3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3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3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13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Anthony Guaycha</v>
      </c>
      <c r="J22" s="113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3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3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3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Santiago Chafla</v>
      </c>
      <c r="T22" s="113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3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3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3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3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3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3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3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3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3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3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3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3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3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3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3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3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3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3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3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3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3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3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3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3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3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3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3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3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3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3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3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3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3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3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24:</v>
      </c>
      <c r="I24" s="113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>Revision de errores del Sprint 3</v>
      </c>
      <c r="J24" s="113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3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3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17:</v>
      </c>
      <c r="S24" s="113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Revision de errores del Sprint 1</v>
      </c>
      <c r="T24" s="113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3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3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3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3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3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3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3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3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3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3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3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3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3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3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13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>Revision de errores del Sprint 3 de parte del Tester</v>
      </c>
      <c r="J25" s="113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3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3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3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Revision de errores del Sprint 1 de parte del Tester</v>
      </c>
      <c r="T25" s="113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3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3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3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3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3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3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3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3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3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3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3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3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3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3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13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46207</v>
      </c>
      <c r="J26" s="113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3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3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3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46194</v>
      </c>
      <c r="T26" s="113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3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3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3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3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3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3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3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3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3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3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3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3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3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3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13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46207</v>
      </c>
      <c r="J27" s="113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3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3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3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46194</v>
      </c>
      <c r="T27" s="113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3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3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3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3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3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3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3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3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3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3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3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3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3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3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13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46207</v>
      </c>
      <c r="J28" s="113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3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3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3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46194</v>
      </c>
      <c r="T28" s="113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3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3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3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3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3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3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3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3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3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3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3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3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3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3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13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>1 días</v>
      </c>
      <c r="J29" s="113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3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3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3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13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3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3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3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3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3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3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3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3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3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3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3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3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3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3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13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>0 días</v>
      </c>
      <c r="J30" s="113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3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3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3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3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3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3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3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3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3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3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3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3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3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3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3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3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3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3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13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Janine Cayo</v>
      </c>
      <c r="J31" s="113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3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3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3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Chafla, Gaycha, Cayo, Madrid</v>
      </c>
      <c r="T31" s="113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3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3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3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3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3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3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3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3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3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3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3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3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3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3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3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3" t="e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>#VALUE!</v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3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3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3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3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3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3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3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3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3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3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3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3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3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3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3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3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3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3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>Tarea 23:</v>
      </c>
      <c r="I33" s="113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>Req-013</v>
      </c>
      <c r="J33" s="113" t="e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>#VALUE!</v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3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3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16:</v>
      </c>
      <c r="S33" s="113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Creacion de cajas blancas y negras Sprint 1</v>
      </c>
      <c r="T33" s="113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3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3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3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3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3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3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3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3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3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3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3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3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3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3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>Descripción:</v>
      </c>
      <c r="I34" s="113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>Desarrollar el requerimiento Req-013 según la prioridad asignada y documentar su avance en el tablero.</v>
      </c>
      <c r="J34" s="113" t="e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>#VALUE!</v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3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3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3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Elaborar de cajas blancas y negras del Sprint 1</v>
      </c>
      <c r="T34" s="113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3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3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3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3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3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3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3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3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3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3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3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3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3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3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>Inicio:</v>
      </c>
      <c r="I35" s="113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>46206</v>
      </c>
      <c r="J35" s="113" t="e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>#VALUE!</v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3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3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3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46190</v>
      </c>
      <c r="T35" s="113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3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3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3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3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3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3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3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3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3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3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3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3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3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3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>Previsto:</v>
      </c>
      <c r="I36" s="113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>46207</v>
      </c>
      <c r="J36" s="113" t="e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>#VALUE!</v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3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3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3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46192</v>
      </c>
      <c r="T36" s="113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3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3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3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3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3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3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3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3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3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3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3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3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3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3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>Final:</v>
      </c>
      <c r="I37" s="113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>46207</v>
      </c>
      <c r="J37" s="113" t="e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>#VALUE!</v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3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3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3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46192</v>
      </c>
      <c r="T37" s="113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3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3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3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3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3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3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3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3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3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3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3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3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3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3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>Duración:</v>
      </c>
      <c r="I38" s="113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>2 días</v>
      </c>
      <c r="J38" s="113" t="e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>#VALUE!</v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3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3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3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3 días</v>
      </c>
      <c r="T38" s="113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3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3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3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3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3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3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3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3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3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3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3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3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3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3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>Retraso:</v>
      </c>
      <c r="I39" s="113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>0 días</v>
      </c>
      <c r="J39" s="113" t="e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>#VALUE!</v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3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3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3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3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3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3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3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3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3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3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3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3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3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3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3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3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3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3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>Asignado:</v>
      </c>
      <c r="I40" s="113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>Edmir Madrid</v>
      </c>
      <c r="J40" s="113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3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3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3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Chafla, Gaycha, Cayo, Madrid</v>
      </c>
      <c r="T40" s="113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3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3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3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3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3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3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3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3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3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3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3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3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3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3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3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3" t="e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>#VALUE!</v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3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3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3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3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3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3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3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3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3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3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3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3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3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3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3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3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3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3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>Tarea 22:</v>
      </c>
      <c r="I42" s="113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>Req-012</v>
      </c>
      <c r="J42" s="113" t="e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>#VALUE!</v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3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3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15:</v>
      </c>
      <c r="S42" s="113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Entrevista Revision del programa</v>
      </c>
      <c r="T42" s="113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3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3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3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3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3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3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3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3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3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3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3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3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3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3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>Descripción:</v>
      </c>
      <c r="I43" s="113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>Desarrollar el requerimiento Req-012 según la prioridad asignada y documentar su avance en el tablero.</v>
      </c>
      <c r="J43" s="113" t="e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>#VALUE!</v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3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3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3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Entrevistar al cliente para revisar el programa, validar funcionalidades implementadas y recopilar observaciones finales.</v>
      </c>
      <c r="T43" s="113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3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3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3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3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3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3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3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3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3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3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3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3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3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3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>Inicio:</v>
      </c>
      <c r="I44" s="113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>46204</v>
      </c>
      <c r="J44" s="113" t="e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>#VALUE!</v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3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3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3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46158</v>
      </c>
      <c r="T44" s="113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3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3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3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3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3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3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3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3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3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3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3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3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3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3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>Previsto:</v>
      </c>
      <c r="I45" s="113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>46205</v>
      </c>
      <c r="J45" s="113" t="e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>#VALUE!</v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3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3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3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46159</v>
      </c>
      <c r="T45" s="113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3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3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3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3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3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3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3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3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3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3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3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3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3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3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>Final:</v>
      </c>
      <c r="I46" s="113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>46206</v>
      </c>
      <c r="J46" s="113" t="e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>#VALUE!</v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3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3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3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46159</v>
      </c>
      <c r="T46" s="113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3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3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3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3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3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3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3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3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3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3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3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3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3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3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>Duración:</v>
      </c>
      <c r="I47" s="113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>3 días</v>
      </c>
      <c r="J47" s="113" t="e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>#VALUE!</v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3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3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3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2 días</v>
      </c>
      <c r="T47" s="113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3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3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3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3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3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3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3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3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3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3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3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3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3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3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>Retraso:</v>
      </c>
      <c r="I48" s="113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>1 días</v>
      </c>
      <c r="J48" s="113" t="e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>#VALUE!</v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3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3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3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3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3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3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3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3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3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3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3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3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3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3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3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3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3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3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>Asignado:</v>
      </c>
      <c r="I49" s="113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>Anthony Guaycha</v>
      </c>
      <c r="J49" s="113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3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3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3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Ing. Jenny Ruiz</v>
      </c>
      <c r="T49" s="113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3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3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3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3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3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3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3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3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3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3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3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3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3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3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3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3" t="e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>#VALUE!</v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3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3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3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3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3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3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3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3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3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3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3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3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3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3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3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3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3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3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>Tarea 21:</v>
      </c>
      <c r="I51" s="113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>Req-011</v>
      </c>
      <c r="J51" s="113" t="e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>#VALUE!</v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3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3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14:</v>
      </c>
      <c r="S51" s="113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Req-009</v>
      </c>
      <c r="T51" s="113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3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3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3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3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3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3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3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3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3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3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3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3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3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3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>Descripción:</v>
      </c>
      <c r="I52" s="113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>Desarrollar el requerimiento Req-011 según la prioridad asignada y documentar su avance en el tablero.</v>
      </c>
      <c r="J52" s="113" t="e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>#VALUE!</v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3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3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3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Desarrollar el requerimiento Req-009 según la prioridad asignada y documentar su avance en el tablero.</v>
      </c>
      <c r="T52" s="113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3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3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3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3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3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3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3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3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3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3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3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3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3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3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>Inicio:</v>
      </c>
      <c r="I53" s="113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>46203</v>
      </c>
      <c r="J53" s="113" t="e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>#VALUE!</v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3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3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3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46157</v>
      </c>
      <c r="T53" s="113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3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3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3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3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3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3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3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3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3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3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3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3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3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3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>Previsto:</v>
      </c>
      <c r="I54" s="113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>46204</v>
      </c>
      <c r="J54" s="113" t="e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>#VALUE!</v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3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3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3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46158</v>
      </c>
      <c r="T54" s="113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3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3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3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3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3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3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3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3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3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3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3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3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3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3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>Final:</v>
      </c>
      <c r="I55" s="113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>46204</v>
      </c>
      <c r="J55" s="113" t="e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>#VALUE!</v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3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3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3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46158</v>
      </c>
      <c r="T55" s="113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3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3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3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3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3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3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3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3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3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3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3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3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3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3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>Duración:</v>
      </c>
      <c r="I56" s="113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>2 días</v>
      </c>
      <c r="J56" s="113" t="e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>#VALUE!</v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3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3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3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2 días</v>
      </c>
      <c r="T56" s="113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3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3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3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3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3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3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3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3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3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3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3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3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3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3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>Retraso:</v>
      </c>
      <c r="I57" s="113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>0 días</v>
      </c>
      <c r="J57" s="113" t="e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>#VALUE!</v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3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3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3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3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3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3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3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3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3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3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3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3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3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3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3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3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3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3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>Asignado:</v>
      </c>
      <c r="I58" s="113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>Santiago Chafla</v>
      </c>
      <c r="J58" s="113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3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3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3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Chafla, Gaycha, Cayo, Madrid</v>
      </c>
      <c r="T58" s="113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3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3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3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3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3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3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3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3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3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3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3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3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3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3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3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3" t="e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>#VALUE!</v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3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3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3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3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3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3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3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3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3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3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3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3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3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3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3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3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3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3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>Tarea 20:</v>
      </c>
      <c r="I60" s="113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>Req-010</v>
      </c>
      <c r="J60" s="113" t="e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>#VALUE!</v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3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3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13:</v>
      </c>
      <c r="S60" s="113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Req-008</v>
      </c>
      <c r="T60" s="113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3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3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3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3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3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3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3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3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3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3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3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3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3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3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>Descripción:</v>
      </c>
      <c r="I61" s="113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>Desarrollar el requerimiento Req-010 según la prioridad asignada y documentar su avance en el tablero.</v>
      </c>
      <c r="J61" s="113" t="e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>#VALUE!</v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3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3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3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Desarrollar el requerimiento Req-008 según la prioridad asignada y documentar su avance en el tablero.</v>
      </c>
      <c r="T61" s="113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3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3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3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3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3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3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3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3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3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3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3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3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3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3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>Inicio:</v>
      </c>
      <c r="I62" s="113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>46201</v>
      </c>
      <c r="J62" s="113" t="e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>#VALUE!</v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3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3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3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46156</v>
      </c>
      <c r="T62" s="113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3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3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3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3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3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3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3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3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3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3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3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3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3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3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>Previsto:</v>
      </c>
      <c r="I63" s="113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>46202</v>
      </c>
      <c r="J63" s="113" t="e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>#VALUE!</v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3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3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3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46157</v>
      </c>
      <c r="T63" s="113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3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3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3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3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3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3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3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3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3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3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3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3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3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3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>Final:</v>
      </c>
      <c r="I64" s="113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>46202</v>
      </c>
      <c r="J64" s="113" t="e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>#VALUE!</v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3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3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3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46157</v>
      </c>
      <c r="T64" s="113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3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3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3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3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3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3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3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3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3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3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3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3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3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3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>Duración:</v>
      </c>
      <c r="I65" s="113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>2 días</v>
      </c>
      <c r="J65" s="113" t="e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>#VALUE!</v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3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3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3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2 días</v>
      </c>
      <c r="T65" s="113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3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3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3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3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3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3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3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3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3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3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3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3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3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3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>Retraso:</v>
      </c>
      <c r="I66" s="113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>0 días</v>
      </c>
      <c r="J66" s="113" t="e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>#VALUE!</v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3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3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3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3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3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3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3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3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3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3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3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3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3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3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3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3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3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3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>Asignado:</v>
      </c>
      <c r="I67" s="113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>Ing. Jenny Ruiz</v>
      </c>
      <c r="J67" s="113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3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3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3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Chafla, Gaycha, Cayo, Madrid</v>
      </c>
      <c r="T67" s="113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3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3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3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3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3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3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3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3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3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3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3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3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3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3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3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3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3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3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3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3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3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3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3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3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3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3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3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3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3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3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3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3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3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3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3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3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3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3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12:</v>
      </c>
      <c r="S69" s="113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Req-007</v>
      </c>
      <c r="T69" s="113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3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3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3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3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3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3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3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3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3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3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3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3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3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3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3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3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3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3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3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Desarrollar el requerimiento Req-007 según la prioridad asignada y documentar su avance en el tablero.</v>
      </c>
      <c r="T70" s="113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3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3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3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3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3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3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3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3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3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3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3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3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3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3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3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3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3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3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3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46155</v>
      </c>
      <c r="T71" s="113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3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3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3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3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3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3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3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3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3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3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3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3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3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3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3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3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3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3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3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46156</v>
      </c>
      <c r="T72" s="113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3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3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3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3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3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3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3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3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3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3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3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3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3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3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3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3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3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3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3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46156</v>
      </c>
      <c r="T73" s="113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3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3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3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3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3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3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3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3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3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3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3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3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3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3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3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3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3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3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3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2 días</v>
      </c>
      <c r="T74" s="113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3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3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3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3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3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3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3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3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3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3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3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3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3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3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3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3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3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3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3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3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3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3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3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3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3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3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3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3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3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3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3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3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3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3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3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3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3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3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3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Chafla, Gaycha, Cayo, Madrid</v>
      </c>
      <c r="T76" s="113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3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3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3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3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3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3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3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3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3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3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3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3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3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3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3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3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3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3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3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3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3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3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3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3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3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3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3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3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3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3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3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3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3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3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3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3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3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3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11:</v>
      </c>
      <c r="S78" s="113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Req-006</v>
      </c>
      <c r="T78" s="113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3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3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3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3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3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3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3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3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3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3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3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3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3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3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3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3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3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3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3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Desarrollar el requerimiento Req-006 según la prioridad asignada y documentar su avance en el tablero.</v>
      </c>
      <c r="T79" s="113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3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3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3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3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3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3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3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3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3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3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3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3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3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3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3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3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3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3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3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46154</v>
      </c>
      <c r="T80" s="113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3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3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3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3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3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3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3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3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3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3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3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3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3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3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3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3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3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3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3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46155</v>
      </c>
      <c r="T81" s="113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3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3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3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3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3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3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3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3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3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3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3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3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3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3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3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3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3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3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3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46155</v>
      </c>
      <c r="T82" s="113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3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3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3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3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3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3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3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3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3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3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3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3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3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3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3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3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3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3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3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2 días</v>
      </c>
      <c r="T83" s="113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3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3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3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3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3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3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3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3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3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3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3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3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3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3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3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3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3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3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3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3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3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3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3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3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3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3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3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3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3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3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3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3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3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3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3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3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3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3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3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0</v>
      </c>
      <c r="T85" s="113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3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3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3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3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3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3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3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3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3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3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3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3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3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3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3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3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3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3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3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3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3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3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3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3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3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3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3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3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3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3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3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3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3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3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3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3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3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3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10:</v>
      </c>
      <c r="S87" s="113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Organizacion del sprint 2 en jira</v>
      </c>
      <c r="T87" s="113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3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3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3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3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3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3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3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3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3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3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3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3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3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3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3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3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3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3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3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Organizar el Sprint 2 en jira</v>
      </c>
      <c r="T88" s="113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3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3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3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3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3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3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3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3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3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3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3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3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3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3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3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3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3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3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3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46153</v>
      </c>
      <c r="T89" s="113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3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3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3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3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3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3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3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3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3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3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3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3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3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3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3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3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3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3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3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46154</v>
      </c>
      <c r="T90" s="113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3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3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3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3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3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3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3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3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3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3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3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3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3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3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3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3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3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3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3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46154</v>
      </c>
      <c r="T91" s="113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3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3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3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3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3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3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3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3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3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3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3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3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3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3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3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3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3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3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3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2 días</v>
      </c>
      <c r="T92" s="113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3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3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3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3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3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3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3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3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3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3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3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3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3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3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3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3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3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3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3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3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3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3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3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3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3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3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3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3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3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3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3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3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3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3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3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3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3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3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3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Chafla, Gaycha, Cayo, Madrid</v>
      </c>
      <c r="T94" s="113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3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3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3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3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3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3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3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3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3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3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3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3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3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3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3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3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3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3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3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3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3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3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3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3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3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3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3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3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3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3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3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3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3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3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3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3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3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3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9:</v>
      </c>
      <c r="S96" s="113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Entrevista Revision del programa</v>
      </c>
      <c r="T96" s="113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3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3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3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3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3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3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3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3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3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3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3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3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3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3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3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3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3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3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3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Entrevistar al cliente para revisar el programa, validar funcionalidades implementadas y recopilar observaciones finales.</v>
      </c>
      <c r="T97" s="113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3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3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3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3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3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3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3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3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3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3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3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3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3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3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3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3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3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3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3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46149</v>
      </c>
      <c r="T98" s="113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3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3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3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3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3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3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3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3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3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3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3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3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3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3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3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3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3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3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3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46149</v>
      </c>
      <c r="T99" s="113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3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3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3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3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3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3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3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3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3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3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3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3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3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3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3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3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3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3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3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46149</v>
      </c>
      <c r="T100" s="113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3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3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3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3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3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3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3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3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3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3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3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3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3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3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3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3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3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3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3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13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3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3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3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3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3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3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3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3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3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3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3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3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3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3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3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3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3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3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3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3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3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3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3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3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3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3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3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3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3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3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3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3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3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3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3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3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3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3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3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0</v>
      </c>
      <c r="T103" s="113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3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3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3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3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3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3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3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3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3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3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3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3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3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3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3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3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3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3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3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3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3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3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3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3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3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3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3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3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3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3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3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3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3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3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3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3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3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3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8:</v>
      </c>
      <c r="S105" s="113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Req-005</v>
      </c>
      <c r="T105" s="113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3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3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3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3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3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3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3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3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3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3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3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3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3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3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3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3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3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3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3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Desarrollar el requerimiento Req-005 y preparar la evidencia necesaria para su revisión.</v>
      </c>
      <c r="T106" s="113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3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3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3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3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3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3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3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3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3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3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3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3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3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3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3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3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3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3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3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46147</v>
      </c>
      <c r="T107" s="113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3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3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3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3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3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3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3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3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3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3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3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3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3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3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3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3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3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3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3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46148</v>
      </c>
      <c r="T108" s="113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3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3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3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3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3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3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3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3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3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3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3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3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3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3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3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3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3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3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3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46148</v>
      </c>
      <c r="T109" s="113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3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3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3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3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3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3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3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3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3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3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3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3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3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3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3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3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3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3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3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2 días</v>
      </c>
      <c r="T110" s="113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3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3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3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3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3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3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3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3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3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3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3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3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3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3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3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3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3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3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3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3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3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3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3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3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3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3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3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3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3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3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3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3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3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3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3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3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3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3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3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0</v>
      </c>
      <c r="T112" s="113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3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3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3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3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3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3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3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3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3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3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3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3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3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3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3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3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3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3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3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3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3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3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3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3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3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3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3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3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3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3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3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3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3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3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3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3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3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3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7:</v>
      </c>
      <c r="S114" s="113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Req-004</v>
      </c>
      <c r="T114" s="113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3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3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3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3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3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3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3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3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3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3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3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3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3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3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3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3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3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3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3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Desarrollar el requerimiento Req-004, asegurando su alineación con las historias de usuario correspondientes.</v>
      </c>
      <c r="T115" s="113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3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3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3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3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3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3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3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3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3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3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3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3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3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3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3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3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3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3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3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46146</v>
      </c>
      <c r="T116" s="113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3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3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3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3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3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3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3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3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3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3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3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3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3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3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3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3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3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3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3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46147</v>
      </c>
      <c r="T117" s="113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3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3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3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3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3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3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3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3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3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3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3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3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3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3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3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3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3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3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3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46147</v>
      </c>
      <c r="T118" s="113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3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3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3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3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3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3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3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3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3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3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3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3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3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3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3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3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3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3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3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2 días</v>
      </c>
      <c r="T119" s="113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3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3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3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3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3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3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3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3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3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3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3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3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3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3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3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3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3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3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3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3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3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3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3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3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3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3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3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3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3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3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3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3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3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3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3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3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3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3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3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0</v>
      </c>
      <c r="T121" s="113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3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3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3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3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3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3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3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3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3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3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3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3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3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3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3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3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3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3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3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3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3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3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3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3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3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3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3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3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3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3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3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3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3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3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3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3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3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3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6:</v>
      </c>
      <c r="S123" s="113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Req-003</v>
      </c>
      <c r="T123" s="113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3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3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3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3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3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3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3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3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3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3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3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3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3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3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3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3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3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3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3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Desarrollar el requerimiento Req-003, registrando avances, responsable y estado dentro del tablero Kanban.</v>
      </c>
      <c r="T124" s="113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3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3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3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3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3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3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3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3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3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3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3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3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3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3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3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3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3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3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3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46145</v>
      </c>
      <c r="T125" s="113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3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3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3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3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3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3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3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3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3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3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3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3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3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3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3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3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3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3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3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46146</v>
      </c>
      <c r="T126" s="113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3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3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3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3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3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3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3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3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3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3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3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3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3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3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3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3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3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3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3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46146</v>
      </c>
      <c r="T127" s="113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3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3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3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3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3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3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3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3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3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3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3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3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3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3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3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3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3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3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3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2 días</v>
      </c>
      <c r="T128" s="113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3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3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3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3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3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3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3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3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3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3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3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3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3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3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3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3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3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3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3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3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3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3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3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3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3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3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3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3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3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3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3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3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3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3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3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3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3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3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3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0</v>
      </c>
      <c r="T130" s="113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3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3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3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3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3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3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3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3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3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3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3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3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3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3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3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3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3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3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3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3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3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3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3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3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3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3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3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3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3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3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3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3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3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3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3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3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3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3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5:</v>
      </c>
      <c r="S132" s="113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Req-002</v>
      </c>
      <c r="T132" s="113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3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3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3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3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3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3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3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3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3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3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3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3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3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3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3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3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3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3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3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Desarrollar el requerimiento Req-002, verificando que cumpla con los criterios definidos en el backlog.</v>
      </c>
      <c r="T133" s="113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3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3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3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3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3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3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3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3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3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3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3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3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3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3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3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3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3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3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3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46144</v>
      </c>
      <c r="T134" s="113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3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3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3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3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3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3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3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3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3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3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3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3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3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3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3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3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3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3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3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46145</v>
      </c>
      <c r="T135" s="113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3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3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3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3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3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3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3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3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3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3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3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3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3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3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3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3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3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3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3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46145</v>
      </c>
      <c r="T136" s="113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3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3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3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3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3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3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3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3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3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3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3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3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3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3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3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3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3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3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3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2 días</v>
      </c>
      <c r="T137" s="113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3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3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3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3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3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3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3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3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3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3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3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3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3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3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3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3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3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3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3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3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3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3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3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3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3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3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3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3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3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3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3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3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3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3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3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3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3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3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3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0</v>
      </c>
      <c r="T139" s="113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3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3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3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3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3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3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3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3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3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3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3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3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3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3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3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3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3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3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3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3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3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3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3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3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3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3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3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3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3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3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3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3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3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3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3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3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3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3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4:</v>
      </c>
      <c r="S141" s="113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Req-001</v>
      </c>
      <c r="T141" s="113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3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3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3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3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3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3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3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3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3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3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3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3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3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3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3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3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3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3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3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Desarrollar el requerimiento Req-001 según la prioridad asignada y documentar su avance en el tablero.</v>
      </c>
      <c r="T142" s="113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3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3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3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3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3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3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3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3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3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3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3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3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3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3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3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3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3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3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3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46143</v>
      </c>
      <c r="T143" s="113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3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3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3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3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3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3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3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3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3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3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3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3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3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3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3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3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3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3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3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46144</v>
      </c>
      <c r="T144" s="113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3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3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3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3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3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3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3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3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3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3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3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3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3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3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3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3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3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3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3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46144</v>
      </c>
      <c r="T145" s="113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3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3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3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3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3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3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3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3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3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3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3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3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3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3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3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3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3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3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3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2 días</v>
      </c>
      <c r="T146" s="113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3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3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3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3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3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3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3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3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3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3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3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3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3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3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3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3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3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3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3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3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3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3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3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3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3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3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3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3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3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3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3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3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3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3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3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3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3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3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3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0</v>
      </c>
      <c r="T148" s="113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3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3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3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3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3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3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3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3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3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3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3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3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3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3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3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3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3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3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3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3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3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3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3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3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3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3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3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3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3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3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3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3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3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3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3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3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3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3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3:</v>
      </c>
      <c r="S150" s="113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Entrevista Cambios de RF</v>
      </c>
      <c r="T150" s="113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3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3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3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3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3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3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3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3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3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3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3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3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3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3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3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3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3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3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3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Actualizar los requerimientos funcionales a partir de los cambios identificados durante la entrevista.</v>
      </c>
      <c r="T151" s="113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3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3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3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3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3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3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3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3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3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3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3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3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3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3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3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3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3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3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3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46157</v>
      </c>
      <c r="T152" s="113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3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3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3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3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3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3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3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3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3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3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3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3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3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3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3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3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3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3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3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46157</v>
      </c>
      <c r="T153" s="113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3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3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3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3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3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3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3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3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3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3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3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3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3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3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3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3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3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3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3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46157</v>
      </c>
      <c r="T154" s="113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3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3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3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3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3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3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3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3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3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3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3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3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3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3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3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3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3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3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3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1 días</v>
      </c>
      <c r="T155" s="113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3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3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3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3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3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3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3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3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3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3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3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3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3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3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3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3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3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3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3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3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3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3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3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3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3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3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3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3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3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3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3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3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3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3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3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3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3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3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3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0</v>
      </c>
      <c r="T157" s="113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3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3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3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3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3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3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3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3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3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3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3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3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3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3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3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3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3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3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3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3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3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3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3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3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3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3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3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3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3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3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3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3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3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3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3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3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3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3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2:</v>
      </c>
      <c r="S159" s="113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Creacion de la matriz de usuario</v>
      </c>
      <c r="T159" s="113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3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3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3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3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3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3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3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3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3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3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3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3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3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3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3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3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3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3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3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Crear la matriz de historias de usuario, relacionando actores, necesidades, prioridades y criterios de aceptación.</v>
      </c>
      <c r="T160" s="113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3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3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3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3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3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3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3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3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3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3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3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3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3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3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3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3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3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3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3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46153</v>
      </c>
      <c r="T161" s="113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3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3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3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3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3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3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3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3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3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3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3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3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3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3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3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3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3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3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3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46157</v>
      </c>
      <c r="T162" s="113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3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3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3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3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3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3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3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3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3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3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3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3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3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3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3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3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3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3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3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46160</v>
      </c>
      <c r="T163" s="113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3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3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3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3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3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3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3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3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3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3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3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3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3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3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3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3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3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3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3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8 días</v>
      </c>
      <c r="T164" s="113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3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3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3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3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3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3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3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3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3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3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3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3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3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3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3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3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3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3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3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3 días</v>
      </c>
      <c r="T165" s="113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3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3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3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3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3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3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3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3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3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3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3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3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3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3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3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3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3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3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3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0</v>
      </c>
      <c r="T166" s="113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3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3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3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3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3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3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3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3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3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3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3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3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3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3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3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3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3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3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3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3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3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3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3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3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3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3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3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3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3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3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3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3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3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3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3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3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3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3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1:</v>
      </c>
      <c r="S168" s="113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 xml:space="preserve"> Reunion con el cliente </v>
      </c>
      <c r="T168" s="113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3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3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3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3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3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3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3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3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3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3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3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3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3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3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3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3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3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3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3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Realizar una reunión con el cliente para aclarar necesidades, restricciones y expectativas del sistema.</v>
      </c>
      <c r="T169" s="113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3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3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3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3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3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3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3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3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3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3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3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3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3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3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3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3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3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3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3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46149</v>
      </c>
      <c r="T170" s="113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3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3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3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3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3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3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3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3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3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3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3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3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3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3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3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3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3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3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3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46149</v>
      </c>
      <c r="T171" s="113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3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3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3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3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3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3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3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3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3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3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3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3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3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3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3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3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3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3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3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46149</v>
      </c>
      <c r="T172" s="113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3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3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3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3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3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3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3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3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3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3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3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3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3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3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3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3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3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3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3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1 días</v>
      </c>
      <c r="T173" s="113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3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3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3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3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3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3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3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3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3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3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3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3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3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3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3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3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3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3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3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3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3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3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3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3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3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3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3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3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3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3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3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3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3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3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3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3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3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3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3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0</v>
      </c>
      <c r="T175" s="113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3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3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3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3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3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3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3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3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3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3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3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3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3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3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3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3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3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3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3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3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3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3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3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3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3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3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3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3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3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3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3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3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3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3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3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3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3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3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3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3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3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3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3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3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3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3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3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3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3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3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3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3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3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3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3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3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3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3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3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3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3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3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3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3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3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3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3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3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3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3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3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3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3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3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3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3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3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3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3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3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3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3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3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3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3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3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3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3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3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3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3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3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3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3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3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3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3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3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3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3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3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3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3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3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3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3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3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3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3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3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3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3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3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3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3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3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3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3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3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3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3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3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3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3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3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3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3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3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3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3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3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3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3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3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3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3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3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3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3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3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3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3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3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3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3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3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3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3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3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3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3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3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3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3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3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3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3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3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3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3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3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3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3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3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3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3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3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3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3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3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3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3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3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3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3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3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3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3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3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3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3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3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3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3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3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3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3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3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3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3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3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3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3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3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3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3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3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3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3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3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3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3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3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3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3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3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3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3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3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3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3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3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3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3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3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3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3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3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3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3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3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3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3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3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3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3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3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3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3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3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3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3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3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3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3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3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3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3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3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3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3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3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3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3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3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3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3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3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3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3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3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3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3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3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3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3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3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3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3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3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3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3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3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3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3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3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3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3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3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3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3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3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3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3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3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3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3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3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3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3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3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3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3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3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3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3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3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3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3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3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3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3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3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3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3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3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3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3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3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3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3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3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3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3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3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3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3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3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3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3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3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3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3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3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3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3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3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3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3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3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3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3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3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3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3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3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3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3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3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3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3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3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3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3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3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3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3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3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3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3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3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3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3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3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3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3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3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3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3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3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3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3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3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3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3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3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3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3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3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3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3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3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3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3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3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3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3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3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3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3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3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3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3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3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3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3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3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3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3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3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3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3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3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3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3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3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3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3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3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3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3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3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3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3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3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3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3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3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3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3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3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3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3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3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3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3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3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3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3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3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3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3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3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3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3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3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3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3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3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3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3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3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3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3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3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3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3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3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3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3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3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3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3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3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3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3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3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3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3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3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3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3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3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3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3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3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3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3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3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3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3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3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3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3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3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3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3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3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3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3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3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3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3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3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3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3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3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3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3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3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3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3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3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3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3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3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3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3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3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3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3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3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3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3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3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3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3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3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3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3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3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3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3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3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3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3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3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3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3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3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3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3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3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3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3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3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3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3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3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3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3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3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4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4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4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4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4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4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4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4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4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4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4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4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4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4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4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4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4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4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4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4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30" zoomScaleNormal="130" workbookViewId="0">
      <pane ySplit="1" topLeftCell="A17" activePane="bottomLeft" state="frozen"/>
      <selection pane="bottomLeft" activeCell="G27" sqref="G27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x14ac:dyDescent="0.3">
      <c r="A2" s="91" t="s">
        <v>5</v>
      </c>
      <c r="B2" s="92" t="s">
        <v>6</v>
      </c>
      <c r="C2" s="104" t="s">
        <v>225</v>
      </c>
      <c r="D2" s="102" t="s">
        <v>233</v>
      </c>
      <c r="E2" s="103">
        <v>46149</v>
      </c>
      <c r="F2" s="93">
        <v>46149</v>
      </c>
      <c r="G2" s="93">
        <v>46149</v>
      </c>
      <c r="H2" s="43" t="str">
        <f>IF(Datos!$G2&gt;0,Datos!$G2-Datos!$E2+1 &amp; " " &amp; Idiomas!$A$29,"")</f>
        <v>1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/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">
      <c r="A3" s="94" t="s">
        <v>5</v>
      </c>
      <c r="B3" s="95" t="s">
        <v>3</v>
      </c>
      <c r="C3" s="3" t="s">
        <v>226</v>
      </c>
      <c r="D3" s="104" t="s">
        <v>234</v>
      </c>
      <c r="E3" s="105">
        <v>46153</v>
      </c>
      <c r="F3" s="96">
        <v>46157</v>
      </c>
      <c r="G3" s="96">
        <v>46160</v>
      </c>
      <c r="H3" s="45" t="str">
        <f>IF(Datos!$G3&gt;0,Datos!$G3-Datos!$E3+1 &amp; " " &amp; Idiomas!$A$29,"")</f>
        <v>8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3 días</v>
      </c>
      <c r="J3" s="95"/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5</v>
      </c>
      <c r="B4" s="92" t="s">
        <v>6</v>
      </c>
      <c r="C4" s="92" t="s">
        <v>227</v>
      </c>
      <c r="D4" s="92" t="s">
        <v>235</v>
      </c>
      <c r="E4" s="103">
        <v>46157</v>
      </c>
      <c r="F4" s="93">
        <v>46157</v>
      </c>
      <c r="G4" s="93">
        <v>46157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/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5</v>
      </c>
      <c r="B5" s="95" t="s">
        <v>3</v>
      </c>
      <c r="C5" s="3" t="s">
        <v>219</v>
      </c>
      <c r="D5" s="95" t="s">
        <v>236</v>
      </c>
      <c r="E5" s="96">
        <v>46143</v>
      </c>
      <c r="F5" s="96">
        <v>46144</v>
      </c>
      <c r="G5" s="96">
        <v>46144</v>
      </c>
      <c r="H5" s="45" t="str">
        <f>IF(Datos!$G5&gt;0,Datos!$G5-Datos!$E5+1 &amp; " " &amp; Idiomas!$A$29,"")</f>
        <v>2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/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">
      <c r="A6" s="91" t="s">
        <v>5</v>
      </c>
      <c r="B6" s="92" t="s">
        <v>3</v>
      </c>
      <c r="C6" s="107" t="s">
        <v>220</v>
      </c>
      <c r="D6" s="102" t="s">
        <v>237</v>
      </c>
      <c r="E6" s="93">
        <v>46144</v>
      </c>
      <c r="F6" s="93">
        <v>46145</v>
      </c>
      <c r="G6" s="93">
        <v>46145</v>
      </c>
      <c r="H6" s="43" t="str">
        <f>IF(Datos!$G6&gt;0,Datos!$G6-Datos!$E6+1 &amp; " " &amp; Idiomas!$A$29,"")</f>
        <v>2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/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5</v>
      </c>
      <c r="B7" s="95" t="s">
        <v>3</v>
      </c>
      <c r="C7" s="106" t="s">
        <v>221</v>
      </c>
      <c r="D7" s="95" t="s">
        <v>238</v>
      </c>
      <c r="E7" s="96">
        <v>46145</v>
      </c>
      <c r="F7" s="96">
        <v>46146</v>
      </c>
      <c r="G7" s="96">
        <v>46146</v>
      </c>
      <c r="H7" s="45" t="str">
        <f>IF(Datos!$G7&gt;0,Datos!$G7-Datos!$E7+1 &amp; " " &amp; Idiomas!$A$29,"")</f>
        <v>2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/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">
      <c r="A8" s="91" t="s">
        <v>5</v>
      </c>
      <c r="B8" s="92" t="s">
        <v>3</v>
      </c>
      <c r="C8" s="109" t="s">
        <v>222</v>
      </c>
      <c r="D8" s="102" t="s">
        <v>239</v>
      </c>
      <c r="E8" s="110">
        <v>46146</v>
      </c>
      <c r="F8" s="93">
        <v>46147</v>
      </c>
      <c r="G8" s="110">
        <v>46147</v>
      </c>
      <c r="H8" s="43" t="str">
        <f>IF(Datos!$G8&gt;0,Datos!$G8-Datos!$E8+1 &amp; " " &amp; Idiomas!$A$29,"")</f>
        <v>2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/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5</v>
      </c>
      <c r="B9" s="95" t="s">
        <v>3</v>
      </c>
      <c r="C9" s="106" t="s">
        <v>223</v>
      </c>
      <c r="D9" s="95" t="s">
        <v>240</v>
      </c>
      <c r="E9" s="96">
        <v>46147</v>
      </c>
      <c r="F9" s="96">
        <v>46148</v>
      </c>
      <c r="G9" s="96">
        <v>46148</v>
      </c>
      <c r="H9" s="45" t="str">
        <f>IF(Datos!$G9&gt;0,Datos!$G9-Datos!$E9+1 &amp; " " &amp; Idiomas!$A$29,"")</f>
        <v>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/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5</v>
      </c>
      <c r="B10" s="92" t="s">
        <v>3</v>
      </c>
      <c r="C10" s="107" t="s">
        <v>224</v>
      </c>
      <c r="D10" s="92" t="s">
        <v>241</v>
      </c>
      <c r="E10" s="93">
        <v>46149</v>
      </c>
      <c r="F10" s="93">
        <v>46149</v>
      </c>
      <c r="G10" s="93">
        <v>46149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/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5</v>
      </c>
      <c r="B11" s="95" t="s">
        <v>8</v>
      </c>
      <c r="C11" s="106" t="s">
        <v>242</v>
      </c>
      <c r="D11" s="95" t="s">
        <v>247</v>
      </c>
      <c r="E11" s="97">
        <v>46153</v>
      </c>
      <c r="F11" s="96">
        <v>46154</v>
      </c>
      <c r="G11" s="96">
        <v>46154</v>
      </c>
      <c r="H11" s="45" t="str">
        <f>IF(Datos!$G11&gt;0,Datos!$G11-Datos!$E11+1 &amp; " " &amp; Idiomas!$A$29,"")</f>
        <v>2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232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43.2" x14ac:dyDescent="0.3">
      <c r="A12" s="91" t="s">
        <v>5</v>
      </c>
      <c r="B12" s="92" t="s">
        <v>8</v>
      </c>
      <c r="C12" s="107" t="s">
        <v>243</v>
      </c>
      <c r="D12" s="102" t="s">
        <v>248</v>
      </c>
      <c r="E12" s="98">
        <v>46154</v>
      </c>
      <c r="F12" s="93">
        <v>46155</v>
      </c>
      <c r="G12" s="93">
        <v>46155</v>
      </c>
      <c r="H12" s="43" t="str">
        <f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/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43.2" x14ac:dyDescent="0.3">
      <c r="A13" s="94" t="s">
        <v>5</v>
      </c>
      <c r="B13" s="95" t="s">
        <v>8</v>
      </c>
      <c r="C13" s="108" t="s">
        <v>244</v>
      </c>
      <c r="D13" s="104" t="s">
        <v>249</v>
      </c>
      <c r="E13" s="96">
        <v>46155</v>
      </c>
      <c r="F13" s="96">
        <v>46156</v>
      </c>
      <c r="G13" s="96">
        <v>46156</v>
      </c>
      <c r="H13" s="45" t="str">
        <f>IF(Datos!$G13&gt;0,Datos!$G13-Datos!$E13+1 &amp; " " &amp; Idiomas!$A$29,"")</f>
        <v>2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232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43.2" x14ac:dyDescent="0.3">
      <c r="A14" s="91" t="s">
        <v>5</v>
      </c>
      <c r="B14" s="92" t="s">
        <v>8</v>
      </c>
      <c r="C14" s="107" t="s">
        <v>245</v>
      </c>
      <c r="D14" s="102" t="s">
        <v>250</v>
      </c>
      <c r="E14" s="110">
        <v>46156</v>
      </c>
      <c r="F14" s="93">
        <v>46157</v>
      </c>
      <c r="G14" s="110">
        <v>46157</v>
      </c>
      <c r="H14" s="43" t="str">
        <f>IF(Datos!$G14&gt;0,Datos!$G14-Datos!$E14+1 &amp; " " &amp; Idiomas!$A$29,"")</f>
        <v>2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232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5</v>
      </c>
      <c r="B15" s="95" t="s">
        <v>8</v>
      </c>
      <c r="C15" s="106" t="s">
        <v>246</v>
      </c>
      <c r="D15" s="95" t="s">
        <v>251</v>
      </c>
      <c r="E15" s="111">
        <v>46157</v>
      </c>
      <c r="F15" s="96">
        <v>46158</v>
      </c>
      <c r="G15" s="111">
        <v>46158</v>
      </c>
      <c r="H15" s="45" t="str">
        <f>IF(Datos!$G15&gt;0,Datos!$G15-Datos!$E15+1 &amp; " " &amp; Idiomas!$A$29,"")</f>
        <v>2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232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57.6" x14ac:dyDescent="0.3">
      <c r="A16" s="91" t="s">
        <v>5</v>
      </c>
      <c r="B16" s="92" t="s">
        <v>3</v>
      </c>
      <c r="C16" s="112" t="s">
        <v>224</v>
      </c>
      <c r="D16" s="102" t="s">
        <v>241</v>
      </c>
      <c r="E16" s="110">
        <v>46158</v>
      </c>
      <c r="F16" s="110">
        <v>46159</v>
      </c>
      <c r="G16" s="110">
        <v>46159</v>
      </c>
      <c r="H16" s="43" t="str">
        <f>IF(Datos!$G16&gt;0,Datos!$G16-Datos!$E16+1 &amp; " " &amp; Idiomas!$A$29,"")</f>
        <v>2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218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28.8" x14ac:dyDescent="0.3">
      <c r="A17" s="94" t="s">
        <v>5</v>
      </c>
      <c r="B17" s="95" t="s">
        <v>6</v>
      </c>
      <c r="C17" s="106" t="s">
        <v>256</v>
      </c>
      <c r="D17" s="104" t="s">
        <v>263</v>
      </c>
      <c r="E17" s="111">
        <v>46190</v>
      </c>
      <c r="F17" s="96">
        <v>46192</v>
      </c>
      <c r="G17" s="96">
        <v>46192</v>
      </c>
      <c r="H17" s="45" t="str">
        <f>IF(Datos!$G17&gt;0,Datos!$G17-Datos!$E17+1 &amp; " " &amp; Idiomas!$A$29,"")</f>
        <v>3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232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">
      <c r="A18" s="91" t="s">
        <v>5</v>
      </c>
      <c r="B18" s="92" t="s">
        <v>6</v>
      </c>
      <c r="C18" s="109" t="s">
        <v>257</v>
      </c>
      <c r="D18" s="92" t="s">
        <v>264</v>
      </c>
      <c r="E18" s="110">
        <v>46194</v>
      </c>
      <c r="F18" s="110">
        <v>46194</v>
      </c>
      <c r="G18" s="110">
        <v>46194</v>
      </c>
      <c r="H18" s="43" t="str">
        <f>IF(Datos!$G18&gt;0,Datos!$G18-Datos!$E18+1 &amp; " " &amp; Idiomas!$A$29,"")</f>
        <v>1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232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">
      <c r="A19" s="94" t="s">
        <v>5</v>
      </c>
      <c r="B19" s="95" t="s">
        <v>6</v>
      </c>
      <c r="C19" s="106" t="s">
        <v>258</v>
      </c>
      <c r="D19" s="95" t="s">
        <v>265</v>
      </c>
      <c r="E19" s="111">
        <v>46202</v>
      </c>
      <c r="F19" s="111">
        <v>46202</v>
      </c>
      <c r="G19" s="111">
        <v>46202</v>
      </c>
      <c r="H19" s="45" t="str">
        <f>IF(Datos!$G19&gt;0,Datos!$G19-Datos!$E19+1 &amp; " " &amp; Idiomas!$A$29,"")</f>
        <v>1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228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">
      <c r="A20" s="91" t="s">
        <v>5</v>
      </c>
      <c r="B20" s="92" t="s">
        <v>6</v>
      </c>
      <c r="C20" s="109" t="s">
        <v>259</v>
      </c>
      <c r="D20" s="92" t="s">
        <v>266</v>
      </c>
      <c r="E20" s="110">
        <v>46207</v>
      </c>
      <c r="F20" s="110">
        <v>46207</v>
      </c>
      <c r="G20" s="110">
        <v>46207</v>
      </c>
      <c r="H20" s="43" t="str">
        <f>IF(Datos!$G20&gt;0,Datos!$G20-Datos!$E20+1 &amp; " " &amp; Idiomas!$A$29,"")</f>
        <v>1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228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43.2" x14ac:dyDescent="0.3">
      <c r="A21" s="94" t="s">
        <v>7</v>
      </c>
      <c r="B21" s="95" t="s">
        <v>8</v>
      </c>
      <c r="C21" s="108" t="s">
        <v>252</v>
      </c>
      <c r="D21" s="104" t="s">
        <v>267</v>
      </c>
      <c r="E21" s="111">
        <v>46201</v>
      </c>
      <c r="F21" s="111">
        <v>46202</v>
      </c>
      <c r="G21" s="111">
        <v>46202</v>
      </c>
      <c r="H21" s="45" t="str">
        <f>IF(Datos!$G21&gt;0,Datos!$G21-Datos!$E21+1 &amp; " " &amp; Idiomas!$A$29,"")</f>
        <v>2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218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">
      <c r="A22" s="91" t="s">
        <v>7</v>
      </c>
      <c r="B22" s="92" t="s">
        <v>8</v>
      </c>
      <c r="C22" s="109" t="s">
        <v>253</v>
      </c>
      <c r="D22" s="92" t="s">
        <v>268</v>
      </c>
      <c r="E22" s="110">
        <v>46203</v>
      </c>
      <c r="F22" s="110">
        <v>46204</v>
      </c>
      <c r="G22" s="110">
        <v>46204</v>
      </c>
      <c r="H22" s="43" t="str">
        <f>IF(Datos!$G22&gt;0,Datos!$G22-Datos!$E22+1 &amp; " " &amp; Idiomas!$A$29,"")</f>
        <v>2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228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">
      <c r="A23" s="94" t="s">
        <v>7</v>
      </c>
      <c r="B23" s="95" t="s">
        <v>8</v>
      </c>
      <c r="C23" s="106" t="s">
        <v>254</v>
      </c>
      <c r="D23" s="95" t="s">
        <v>269</v>
      </c>
      <c r="E23" s="111">
        <v>46204</v>
      </c>
      <c r="F23" s="111">
        <v>46205</v>
      </c>
      <c r="G23" s="111">
        <v>46206</v>
      </c>
      <c r="H23" s="45" t="str">
        <f>IF(Datos!$G23&gt;0,Datos!$G23-Datos!$E23+1 &amp; " " &amp; Idiomas!$A$29,"")</f>
        <v>3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1 días</v>
      </c>
      <c r="J23" s="95" t="s">
        <v>229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">
      <c r="A24" s="91" t="s">
        <v>7</v>
      </c>
      <c r="B24" s="92" t="s">
        <v>8</v>
      </c>
      <c r="C24" s="109" t="s">
        <v>255</v>
      </c>
      <c r="D24" s="92" t="s">
        <v>270</v>
      </c>
      <c r="E24" s="110">
        <v>46206</v>
      </c>
      <c r="F24" s="110">
        <v>46207</v>
      </c>
      <c r="G24" s="110">
        <v>46207</v>
      </c>
      <c r="H24" s="43" t="str">
        <f>IF(Datos!$G24&gt;0,Datos!$G24-Datos!$E24+1 &amp; " " &amp; Idiomas!$A$29,"")</f>
        <v>2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231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">
      <c r="A25" s="94" t="s">
        <v>7</v>
      </c>
      <c r="B25" s="95" t="s">
        <v>8</v>
      </c>
      <c r="C25" s="106" t="s">
        <v>260</v>
      </c>
      <c r="D25" s="95" t="s">
        <v>271</v>
      </c>
      <c r="E25" s="111">
        <v>46207</v>
      </c>
      <c r="F25" s="111">
        <v>46207</v>
      </c>
      <c r="G25" s="111">
        <v>46207</v>
      </c>
      <c r="H25" s="45" t="str">
        <f>IF(Datos!$G25&gt;0,Datos!$G25-Datos!$E25+1 &amp; " " &amp; Idiomas!$A$29,"")</f>
        <v>1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230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">
      <c r="A26" s="91" t="s">
        <v>7</v>
      </c>
      <c r="B26" s="92" t="s">
        <v>8</v>
      </c>
      <c r="C26" s="109" t="s">
        <v>261</v>
      </c>
      <c r="D26" s="92" t="s">
        <v>263</v>
      </c>
      <c r="E26" s="110">
        <v>46207</v>
      </c>
      <c r="F26" s="110">
        <v>46207</v>
      </c>
      <c r="G26" s="110">
        <v>46207</v>
      </c>
      <c r="H26" s="43" t="str">
        <f>IF(Datos!$G26&gt;0,Datos!$G26-Datos!$E26+1 &amp; " " &amp; Idiomas!$A$29,"")</f>
        <v>1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229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3">
      <c r="A27" s="94" t="s">
        <v>7</v>
      </c>
      <c r="B27" s="95" t="s">
        <v>3</v>
      </c>
      <c r="C27" s="106" t="s">
        <v>262</v>
      </c>
      <c r="D27" s="95" t="s">
        <v>241</v>
      </c>
      <c r="E27" s="111">
        <v>46208</v>
      </c>
      <c r="F27" s="111">
        <v>46208</v>
      </c>
      <c r="G27" s="111">
        <v>46208</v>
      </c>
      <c r="H27" s="45" t="str">
        <f>IF(Datos!$G27&gt;0,Datos!$G27-Datos!$E27+1 &amp; " " &amp; Idiomas!$A$29,"")</f>
        <v>1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232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3">
      <c r="A28" s="91"/>
      <c r="B28" s="92"/>
      <c r="C28" s="109"/>
      <c r="D28" s="92"/>
      <c r="E28" s="110"/>
      <c r="F28" s="110"/>
      <c r="G28" s="110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 t="s">
        <v>232</v>
      </c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 t="s">
        <v>232</v>
      </c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5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4" sqref="F14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16" t="str">
        <f>"                " &amp; Idiomas!$A$2 &amp; " v3 ©️            "</f>
        <v xml:space="preserve">                Tablero KANBAN v3 ©️            </v>
      </c>
      <c r="C2" s="116"/>
      <c r="E2" s="7" t="s">
        <v>12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">
      <c r="E3" s="8" t="s">
        <v>13</v>
      </c>
      <c r="F3" s="120" t="s">
        <v>14</v>
      </c>
      <c r="G3" s="120"/>
      <c r="H3" s="120"/>
    </row>
    <row r="4" spans="2:9" x14ac:dyDescent="0.3">
      <c r="B4" s="89" t="str">
        <f>Idiomas!$A$3</f>
        <v>Idioma</v>
      </c>
      <c r="E4" s="8" t="s">
        <v>15</v>
      </c>
      <c r="F4" s="121" t="s">
        <v>16</v>
      </c>
      <c r="G4" s="121"/>
      <c r="H4" s="121"/>
    </row>
    <row r="5" spans="2:9" ht="15" customHeight="1" x14ac:dyDescent="0.3">
      <c r="B5" s="90" t="s">
        <v>17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3">
      <c r="B9" s="75" t="s">
        <v>9</v>
      </c>
      <c r="D9" s="72" t="s">
        <v>6</v>
      </c>
      <c r="F9" s="68" t="s">
        <v>228</v>
      </c>
      <c r="H9" s="66" t="str">
        <f>Idiomas!$A$12</f>
        <v>Tarea</v>
      </c>
      <c r="I9" s="85">
        <v>1</v>
      </c>
    </row>
    <row r="10" spans="2:9" x14ac:dyDescent="0.3">
      <c r="B10" s="76" t="s">
        <v>7</v>
      </c>
      <c r="D10" s="73" t="s">
        <v>3</v>
      </c>
      <c r="F10" s="69" t="s">
        <v>229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2</v>
      </c>
      <c r="D11" s="74" t="s">
        <v>8</v>
      </c>
      <c r="F11" s="70" t="s">
        <v>230</v>
      </c>
      <c r="H11" s="79" t="str">
        <f>Idiomas!$A$14</f>
        <v>Inicio</v>
      </c>
      <c r="I11" s="86">
        <v>3</v>
      </c>
    </row>
    <row r="12" spans="2:9" x14ac:dyDescent="0.3">
      <c r="B12" s="76" t="s">
        <v>5</v>
      </c>
      <c r="F12" s="69" t="s">
        <v>231</v>
      </c>
      <c r="H12" s="67" t="str">
        <f>Idiomas!$A$15</f>
        <v>Previsto</v>
      </c>
      <c r="I12" s="87">
        <v>4</v>
      </c>
    </row>
    <row r="13" spans="2:9" ht="15" thickBot="1" x14ac:dyDescent="0.35">
      <c r="B13" s="77" t="s">
        <v>19</v>
      </c>
      <c r="F13" s="70" t="s">
        <v>232</v>
      </c>
      <c r="H13" s="79" t="str">
        <f>Idiomas!$A$16</f>
        <v>Final</v>
      </c>
      <c r="I13" s="86">
        <v>5</v>
      </c>
    </row>
    <row r="14" spans="2:9" x14ac:dyDescent="0.3">
      <c r="B14" s="76" t="s">
        <v>9</v>
      </c>
      <c r="F14" s="68" t="s">
        <v>218</v>
      </c>
      <c r="H14" s="67" t="str">
        <f>Idiomas!$A$17</f>
        <v>Duración</v>
      </c>
      <c r="I14" s="87">
        <v>6</v>
      </c>
    </row>
    <row r="15" spans="2:9" x14ac:dyDescent="0.3">
      <c r="B15" s="77" t="s">
        <v>7</v>
      </c>
      <c r="F15" s="69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20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2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7" t="s">
        <v>21</v>
      </c>
      <c r="C23" s="118"/>
      <c r="D23" s="119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R-168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R-168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R168:R175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R-159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R-159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R159:R166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R-150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R-150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R150:R157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R-141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R-141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R141:R148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R-132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R-132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R132:R139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R-123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R-123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R123:R130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R-114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R-114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R114:R121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R-105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R-105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R105:R112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R-96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R-96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R96:R103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3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R-87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R-87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R87:R94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R-78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R-78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R78:R85</v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R-69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R-69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R69:R76</v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R-60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R-60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R60:R67</v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R-51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R-51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R51:R58</v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R-42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R-42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R42:R49</v>
      </c>
    </row>
    <row r="17" spans="1:16" ht="15.6" thickTop="1" thickBot="1" x14ac:dyDescent="0.35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1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R-33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R-33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R33:R40</v>
      </c>
    </row>
    <row r="18" spans="1:16" ht="15.6" thickTop="1" thickBot="1" x14ac:dyDescent="0.35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1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R-24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R-24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R24:R31</v>
      </c>
    </row>
    <row r="19" spans="1:16" ht="15.6" thickTop="1" thickBot="1" x14ac:dyDescent="0.35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1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R-15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R-15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R15:R22</v>
      </c>
    </row>
    <row r="20" spans="1:16" ht="15.6" thickTop="1" thickBot="1" x14ac:dyDescent="0.35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R-6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R-6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R6:R13</v>
      </c>
    </row>
    <row r="21" spans="1:16" ht="15.6" thickTop="1" thickBot="1" x14ac:dyDescent="0.35">
      <c r="A21" s="56" t="str">
        <f>IFERROR(IF(Datos!$A21="","",Idiomas!$A$12&amp;" "&amp;ROW()-1),"")</f>
        <v>Tarea 20</v>
      </c>
      <c r="B21" s="57">
        <f>IFERROR(MATCH(Datos!$A21,Configura!$B$9:$B$18,0),0)</f>
        <v>2</v>
      </c>
      <c r="C21" s="57">
        <f>IFERROR(MATCH(Datos!$B21,Configura!$D$9:$D$11,0),0)</f>
        <v>3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>H-60</v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H-60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H60:H67</v>
      </c>
    </row>
    <row r="22" spans="1:16" ht="15.6" thickTop="1" thickBot="1" x14ac:dyDescent="0.35">
      <c r="A22" s="52" t="str">
        <f>IFERROR(IF(Datos!$A22="","",Idiomas!$A$12&amp;" "&amp;ROW()-1),"")</f>
        <v>Tarea 21</v>
      </c>
      <c r="B22" s="53">
        <f>IFERROR(MATCH(Datos!$A22,Configura!$B$9:$B$18,0),0)</f>
        <v>2</v>
      </c>
      <c r="C22" s="53">
        <f>IFERROR(MATCH(Datos!$B22,Configura!$D$9:$D$11,0),0)</f>
        <v>3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>H-51</v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H-51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H51:H58</v>
      </c>
    </row>
    <row r="23" spans="1:16" ht="15.6" thickTop="1" thickBot="1" x14ac:dyDescent="0.35">
      <c r="A23" s="56" t="str">
        <f>IFERROR(IF(Datos!$A23="","",Idiomas!$A$12&amp;" "&amp;ROW()-1),"")</f>
        <v>Tarea 22</v>
      </c>
      <c r="B23" s="57">
        <f>IFERROR(MATCH(Datos!$A23,Configura!$B$9:$B$18,0),0)</f>
        <v>2</v>
      </c>
      <c r="C23" s="57">
        <f>IFERROR(MATCH(Datos!$B23,Configura!$D$9:$D$11,0),0)</f>
        <v>3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>H-42</v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H-42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H42:H49</v>
      </c>
    </row>
    <row r="24" spans="1:16" ht="15.6" thickTop="1" thickBot="1" x14ac:dyDescent="0.35">
      <c r="A24" s="52" t="str">
        <f>IFERROR(IF(Datos!$A24="","",Idiomas!$A$12&amp;" "&amp;ROW()-1),"")</f>
        <v>Tarea 23</v>
      </c>
      <c r="B24" s="53">
        <f>IFERROR(MATCH(Datos!$A24,Configura!$B$9:$B$18,0),0)</f>
        <v>2</v>
      </c>
      <c r="C24" s="53">
        <f>IFERROR(MATCH(Datos!$B24,Configura!$D$9:$D$11,0),0)</f>
        <v>3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>H-33</v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H-33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H33:H40</v>
      </c>
    </row>
    <row r="25" spans="1:16" ht="15.6" thickTop="1" thickBot="1" x14ac:dyDescent="0.35">
      <c r="A25" s="56" t="str">
        <f>IFERROR(IF(Datos!$A25="","",Idiomas!$A$12&amp;" "&amp;ROW()-1),"")</f>
        <v>Tarea 24</v>
      </c>
      <c r="B25" s="57">
        <f>IFERROR(MATCH(Datos!$A25,Configura!$B$9:$B$18,0),0)</f>
        <v>2</v>
      </c>
      <c r="C25" s="57">
        <f>IFERROR(MATCH(Datos!$B25,Configura!$D$9:$D$11,0),0)</f>
        <v>3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>H-24</v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H-24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H24:H31</v>
      </c>
    </row>
    <row r="26" spans="1:16" ht="15.6" thickTop="1" thickBot="1" x14ac:dyDescent="0.35">
      <c r="A26" s="52" t="str">
        <f>IFERROR(IF(Datos!$A26="","",Idiomas!$A$12&amp;" "&amp;ROW()-1),"")</f>
        <v>Tarea 25</v>
      </c>
      <c r="B26" s="53">
        <f>IFERROR(MATCH(Datos!$A26,Configura!$B$9:$B$18,0),0)</f>
        <v>2</v>
      </c>
      <c r="C26" s="53">
        <f>IFERROR(MATCH(Datos!$B26,Configura!$D$9:$D$11,0),0)</f>
        <v>3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>H-15</v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H-15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H15:H22</v>
      </c>
    </row>
    <row r="27" spans="1:16" ht="15.6" thickTop="1" thickBot="1" x14ac:dyDescent="0.35">
      <c r="A27" s="56" t="str">
        <f>IFERROR(IF(Datos!$A27="","",Idiomas!$A$12&amp;" "&amp;ROW()-1),"")</f>
        <v>Tarea 26</v>
      </c>
      <c r="B27" s="57">
        <f>IFERROR(MATCH(Datos!$A27,Configura!$B$9:$B$18,0),0)</f>
        <v>2</v>
      </c>
      <c r="C27" s="57">
        <f>IFERROR(MATCH(Datos!$B27,Configura!$D$9:$D$11,0),0)</f>
        <v>2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>H-6</v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>H-6</v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>H6:H13</v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26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19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1-1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>
        <f t="shared" ca="1" si="1"/>
        <v>26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19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1-2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>
        <f t="shared" ca="1" si="1"/>
        <v>26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19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1-3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>
        <f t="shared" ca="1" si="1"/>
        <v>26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19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1-4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>
        <f t="shared" ca="1" si="1"/>
        <v>26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19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1-5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>
        <f t="shared" ca="1" si="1"/>
        <v>26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19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1-6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>
        <f t="shared" ca="1" si="1"/>
        <v>26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19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1-7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>
        <f t="shared" ca="1" si="1"/>
        <v>26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19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1-8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26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19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>
        <f t="shared" ca="1" si="1"/>
        <v>25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3-1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18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>
        <f t="shared" ca="1" si="1"/>
        <v>25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3-2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18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>
        <f t="shared" ca="1" si="1"/>
        <v>25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3-3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18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>
        <f t="shared" ca="1" si="1"/>
        <v>25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3-4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18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>
        <f t="shared" ca="1" si="1"/>
        <v>25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3-5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18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2</v>
      </c>
      <c r="I17" s="20">
        <f t="shared" ca="1" si="1"/>
        <v>25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3-6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18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>
        <f t="shared" ca="1" si="1"/>
        <v>25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3-7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18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>
        <f t="shared" ca="1" si="1"/>
        <v>25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3-8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18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25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18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>
        <f ca="1"/>
        <v>20</v>
      </c>
      <c r="H21" s="20">
        <f t="shared" ca="1" si="11"/>
        <v>3</v>
      </c>
      <c r="I21" s="20">
        <f t="shared" ca="1" si="1"/>
        <v>24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3-1</v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17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>
        <f ca="1"/>
        <v>21</v>
      </c>
      <c r="H22" s="20">
        <f t="shared" ca="1" si="11"/>
        <v>3</v>
      </c>
      <c r="I22" s="20">
        <f t="shared" ca="1" si="1"/>
        <v>24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3-2</v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17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>
        <f ca="1"/>
        <v>22</v>
      </c>
      <c r="H23" s="20">
        <f t="shared" ca="1" si="11"/>
        <v>3</v>
      </c>
      <c r="I23" s="20">
        <f t="shared" ca="1" si="1"/>
        <v>24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3-3</v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17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>
        <f ca="1"/>
        <v>23</v>
      </c>
      <c r="H24" s="20">
        <f t="shared" ca="1" si="11"/>
        <v>3</v>
      </c>
      <c r="I24" s="20">
        <f t="shared" ca="1" si="1"/>
        <v>24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3-4</v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17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>
        <f ca="1"/>
        <v>24</v>
      </c>
      <c r="H25" s="20">
        <f t="shared" ca="1" si="11"/>
        <v>3</v>
      </c>
      <c r="I25" s="20">
        <f t="shared" ca="1" si="1"/>
        <v>24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3-5</v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17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>
        <f ca="1"/>
        <v>25</v>
      </c>
      <c r="H26" s="20">
        <f t="shared" ca="1" si="11"/>
        <v>3</v>
      </c>
      <c r="I26" s="20">
        <f t="shared" ca="1" si="1"/>
        <v>24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3-6</v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17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>
        <f ca="1"/>
        <v>26</v>
      </c>
      <c r="H27" s="20">
        <f t="shared" ca="1" si="11"/>
        <v>3</v>
      </c>
      <c r="I27" s="20">
        <f t="shared" ca="1" si="1"/>
        <v>24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3-7</v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17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3</v>
      </c>
      <c r="I28" s="20">
        <f t="shared" ca="1" si="1"/>
        <v>24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3-8</v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17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24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17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4</v>
      </c>
      <c r="I30" s="20">
        <f t="shared" ca="1" si="1"/>
        <v>23</v>
      </c>
      <c r="J30" s="20" cm="1">
        <f t="array" aca="1" ref="J30" ca="1">IF(I30="","",IF(I30&lt;&gt;I29,1,IF(J29=misLíneas-2,0,J29+1)))</f>
        <v>1</v>
      </c>
      <c r="K30" s="20" t="str" cm="1">
        <f t="array" aca="1" ref="K30" ca="1">IF(OR(J30=0,J30=""),"",INDEX(misCriticidades,I30)&amp;"-"&amp;IFERROR(MATCH(J30,miOrdenTarjeta,0),0))</f>
        <v>3-1</v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16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4</v>
      </c>
      <c r="I31" s="20">
        <f t="shared" ca="1" si="1"/>
        <v>23</v>
      </c>
      <c r="J31" s="20" cm="1">
        <f t="array" aca="1" ref="J31" ca="1">IF(I31="","",IF(I31&lt;&gt;I30,1,IF(J30=misLíneas-2,0,J30+1)))</f>
        <v>2</v>
      </c>
      <c r="K31" s="20" t="str" cm="1">
        <f t="array" aca="1" ref="K31" ca="1">IF(OR(J31=0,J31=""),"",INDEX(misCriticidades,I31)&amp;"-"&amp;IFERROR(MATCH(J31,miOrdenTarjeta,0),0))</f>
        <v>3-2</v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16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4</v>
      </c>
      <c r="I32" s="20">
        <f t="shared" ca="1" si="1"/>
        <v>23</v>
      </c>
      <c r="J32" s="20" cm="1">
        <f t="array" aca="1" ref="J32" ca="1">IF(I32="","",IF(I32&lt;&gt;I31,1,IF(J31=misLíneas-2,0,J31+1)))</f>
        <v>3</v>
      </c>
      <c r="K32" s="20" t="str" cm="1">
        <f t="array" aca="1" ref="K32" ca="1">IF(OR(J32=0,J32=""),"",INDEX(misCriticidades,I32)&amp;"-"&amp;IFERROR(MATCH(J32,miOrdenTarjeta,0),0))</f>
        <v>3-3</v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16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4</v>
      </c>
      <c r="I33" s="20">
        <f t="shared" ca="1" si="1"/>
        <v>23</v>
      </c>
      <c r="J33" s="20" cm="1">
        <f t="array" aca="1" ref="J33" ca="1">IF(I33="","",IF(I33&lt;&gt;I32,1,IF(J32=misLíneas-2,0,J32+1)))</f>
        <v>4</v>
      </c>
      <c r="K33" s="20" t="str" cm="1">
        <f t="array" aca="1" ref="K33" ca="1">IF(OR(J33=0,J33=""),"",INDEX(misCriticidades,I33)&amp;"-"&amp;IFERROR(MATCH(J33,miOrdenTarjeta,0),0))</f>
        <v>3-4</v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16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4</v>
      </c>
      <c r="I34" s="20">
        <f t="shared" ca="1" si="1"/>
        <v>23</v>
      </c>
      <c r="J34" s="20" cm="1">
        <f t="array" aca="1" ref="J34" ca="1">IF(I34="","",IF(I34&lt;&gt;I33,1,IF(J33=misLíneas-2,0,J33+1)))</f>
        <v>5</v>
      </c>
      <c r="K34" s="20" t="str" cm="1">
        <f t="array" aca="1" ref="K34" ca="1">IF(OR(J34=0,J34=""),"",INDEX(misCriticidades,I34)&amp;"-"&amp;IFERROR(MATCH(J34,miOrdenTarjeta,0),0))</f>
        <v>3-5</v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16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4</v>
      </c>
      <c r="I35" s="20">
        <f t="shared" ref="I35:I66" ca="1" si="22">IF(H35&gt;H34,IFERROR(IF(K$1="v",SMALL(G$2:G$101,H35),LARGE(G$2:G$101,H35)),""),I34)</f>
        <v>23</v>
      </c>
      <c r="J35" s="20" cm="1">
        <f t="array" aca="1" ref="J35" ca="1">IF(I35="","",IF(I35&lt;&gt;I34,1,IF(J34=misLíneas-2,0,J34+1)))</f>
        <v>6</v>
      </c>
      <c r="K35" s="20" t="str" cm="1">
        <f t="array" aca="1" ref="K35" ca="1">IF(OR(J35=0,J35=""),"",INDEX(misCriticidades,I35)&amp;"-"&amp;IFERROR(MATCH(J35,miOrdenTarjeta,0),0))</f>
        <v>3-6</v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16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4</v>
      </c>
      <c r="I36" s="20">
        <f t="shared" ca="1" si="22"/>
        <v>23</v>
      </c>
      <c r="J36" s="20" cm="1">
        <f t="array" aca="1" ref="J36" ca="1">IF(I36="","",IF(I36&lt;&gt;I35,1,IF(J35=misLíneas-2,0,J35+1)))</f>
        <v>7</v>
      </c>
      <c r="K36" s="20" t="str" cm="1">
        <f t="array" aca="1" ref="K36" ca="1">IF(OR(J36=0,J36=""),"",INDEX(misCriticidades,I36)&amp;"-"&amp;IFERROR(MATCH(J36,miOrdenTarjeta,0),0))</f>
        <v>3-7</v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16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4</v>
      </c>
      <c r="I37" s="20">
        <f t="shared" ca="1" si="22"/>
        <v>23</v>
      </c>
      <c r="J37" s="20" cm="1">
        <f t="array" aca="1" ref="J37" ca="1">IF(I37="","",IF(I37&lt;&gt;I36,1,IF(J36=misLíneas-2,0,J36+1)))</f>
        <v>8</v>
      </c>
      <c r="K37" s="20" t="str" cm="1">
        <f t="array" aca="1" ref="K37" ca="1">IF(OR(J37=0,J37=""),"",INDEX(misCriticidades,I37)&amp;"-"&amp;IFERROR(MATCH(J37,miOrdenTarjeta,0),0))</f>
        <v>3-8</v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16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4</v>
      </c>
      <c r="I38" s="20">
        <f t="shared" ca="1" si="22"/>
        <v>23</v>
      </c>
      <c r="J38" s="20" cm="1">
        <f t="array" aca="1" ref="J38" ca="1">IF(I38="","",IF(I38&lt;&gt;I37,1,IF(J37=misLíneas-2,0,J37+1)))</f>
        <v>0</v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16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5</v>
      </c>
      <c r="I39" s="20">
        <f t="shared" ca="1" si="22"/>
        <v>22</v>
      </c>
      <c r="J39" s="20" cm="1">
        <f t="array" aca="1" ref="J39" ca="1">IF(I39="","",IF(I39&lt;&gt;I38,1,IF(J38=misLíneas-2,0,J38+1)))</f>
        <v>1</v>
      </c>
      <c r="K39" s="20" t="str" cm="1">
        <f t="array" aca="1" ref="K39" ca="1">IF(OR(J39=0,J39=""),"",INDEX(misCriticidades,I39)&amp;"-"&amp;IFERROR(MATCH(J39,miOrdenTarjeta,0),0))</f>
        <v>3-1</v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15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5</v>
      </c>
      <c r="I40" s="20">
        <f t="shared" ca="1" si="22"/>
        <v>22</v>
      </c>
      <c r="J40" s="20" cm="1">
        <f t="array" aca="1" ref="J40" ca="1">IF(I40="","",IF(I40&lt;&gt;I39,1,IF(J39=misLíneas-2,0,J39+1)))</f>
        <v>2</v>
      </c>
      <c r="K40" s="20" t="str" cm="1">
        <f t="array" aca="1" ref="K40" ca="1">IF(OR(J40=0,J40=""),"",INDEX(misCriticidades,I40)&amp;"-"&amp;IFERROR(MATCH(J40,miOrdenTarjeta,0),0))</f>
        <v>3-2</v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15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5</v>
      </c>
      <c r="I41" s="20">
        <f t="shared" ca="1" si="22"/>
        <v>22</v>
      </c>
      <c r="J41" s="20" cm="1">
        <f t="array" aca="1" ref="J41" ca="1">IF(I41="","",IF(I41&lt;&gt;I40,1,IF(J40=misLíneas-2,0,J40+1)))</f>
        <v>3</v>
      </c>
      <c r="K41" s="20" t="str" cm="1">
        <f t="array" aca="1" ref="K41" ca="1">IF(OR(J41=0,J41=""),"",INDEX(misCriticidades,I41)&amp;"-"&amp;IFERROR(MATCH(J41,miOrdenTarjeta,0),0))</f>
        <v>3-3</v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15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5</v>
      </c>
      <c r="I42" s="20">
        <f t="shared" ca="1" si="22"/>
        <v>22</v>
      </c>
      <c r="J42" s="20" cm="1">
        <f t="array" aca="1" ref="J42" ca="1">IF(I42="","",IF(I42&lt;&gt;I41,1,IF(J41=misLíneas-2,0,J41+1)))</f>
        <v>4</v>
      </c>
      <c r="K42" s="20" t="str" cm="1">
        <f t="array" aca="1" ref="K42" ca="1">IF(OR(J42=0,J42=""),"",INDEX(misCriticidades,I42)&amp;"-"&amp;IFERROR(MATCH(J42,miOrdenTarjeta,0),0))</f>
        <v>3-4</v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15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5</v>
      </c>
      <c r="I43" s="20">
        <f t="shared" ca="1" si="22"/>
        <v>22</v>
      </c>
      <c r="J43" s="20" cm="1">
        <f t="array" aca="1" ref="J43" ca="1">IF(I43="","",IF(I43&lt;&gt;I42,1,IF(J42=misLíneas-2,0,J42+1)))</f>
        <v>5</v>
      </c>
      <c r="K43" s="20" t="str" cm="1">
        <f t="array" aca="1" ref="K43" ca="1">IF(OR(J43=0,J43=""),"",INDEX(misCriticidades,I43)&amp;"-"&amp;IFERROR(MATCH(J43,miOrdenTarjeta,0),0))</f>
        <v>3-5</v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15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5</v>
      </c>
      <c r="I44" s="20">
        <f t="shared" ca="1" si="22"/>
        <v>22</v>
      </c>
      <c r="J44" s="20" cm="1">
        <f t="array" aca="1" ref="J44" ca="1">IF(I44="","",IF(I44&lt;&gt;I43,1,IF(J43=misLíneas-2,0,J43+1)))</f>
        <v>6</v>
      </c>
      <c r="K44" s="20" t="str" cm="1">
        <f t="array" aca="1" ref="K44" ca="1">IF(OR(J44=0,J44=""),"",INDEX(misCriticidades,I44)&amp;"-"&amp;IFERROR(MATCH(J44,miOrdenTarjeta,0),0))</f>
        <v>3-6</v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15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5</v>
      </c>
      <c r="I45" s="20">
        <f t="shared" ca="1" si="22"/>
        <v>22</v>
      </c>
      <c r="J45" s="20" cm="1">
        <f t="array" aca="1" ref="J45" ca="1">IF(I45="","",IF(I45&lt;&gt;I44,1,IF(J44=misLíneas-2,0,J44+1)))</f>
        <v>7</v>
      </c>
      <c r="K45" s="20" t="str" cm="1">
        <f t="array" aca="1" ref="K45" ca="1">IF(OR(J45=0,J45=""),"",INDEX(misCriticidades,I45)&amp;"-"&amp;IFERROR(MATCH(J45,miOrdenTarjeta,0),0))</f>
        <v>3-7</v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15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5</v>
      </c>
      <c r="I46" s="20">
        <f t="shared" ca="1" si="22"/>
        <v>22</v>
      </c>
      <c r="J46" s="20" cm="1">
        <f t="array" aca="1" ref="J46" ca="1">IF(I46="","",IF(I46&lt;&gt;I45,1,IF(J45=misLíneas-2,0,J45+1)))</f>
        <v>8</v>
      </c>
      <c r="K46" s="20" t="str" cm="1">
        <f t="array" aca="1" ref="K46" ca="1">IF(OR(J46=0,J46=""),"",INDEX(misCriticidades,I46)&amp;"-"&amp;IFERROR(MATCH(J46,miOrdenTarjeta,0),0))</f>
        <v>3-8</v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15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5</v>
      </c>
      <c r="I47" s="20">
        <f t="shared" ca="1" si="22"/>
        <v>22</v>
      </c>
      <c r="J47" s="20" cm="1">
        <f t="array" aca="1" ref="J47" ca="1">IF(I47="","",IF(I47&lt;&gt;I46,1,IF(J46=misLíneas-2,0,J46+1)))</f>
        <v>0</v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15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6</v>
      </c>
      <c r="I48" s="20">
        <f t="shared" ca="1" si="22"/>
        <v>21</v>
      </c>
      <c r="J48" s="20" cm="1">
        <f t="array" aca="1" ref="J48" ca="1">IF(I48="","",IF(I48&lt;&gt;I47,1,IF(J47=misLíneas-2,0,J47+1)))</f>
        <v>1</v>
      </c>
      <c r="K48" s="20" t="str" cm="1">
        <f t="array" aca="1" ref="K48" ca="1">IF(OR(J48=0,J48=""),"",INDEX(misCriticidades,I48)&amp;"-"&amp;IFERROR(MATCH(J48,miOrdenTarjeta,0),0))</f>
        <v>3-1</v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14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3-1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6</v>
      </c>
      <c r="I49" s="20">
        <f t="shared" ca="1" si="22"/>
        <v>21</v>
      </c>
      <c r="J49" s="20" cm="1">
        <f t="array" aca="1" ref="J49" ca="1">IF(I49="","",IF(I49&lt;&gt;I48,1,IF(J48=misLíneas-2,0,J48+1)))</f>
        <v>2</v>
      </c>
      <c r="K49" s="20" t="str" cm="1">
        <f t="array" aca="1" ref="K49" ca="1">IF(OR(J49=0,J49=""),"",INDEX(misCriticidades,I49)&amp;"-"&amp;IFERROR(MATCH(J49,miOrdenTarjeta,0),0))</f>
        <v>3-2</v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14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3-2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6</v>
      </c>
      <c r="I50" s="20">
        <f t="shared" ca="1" si="22"/>
        <v>21</v>
      </c>
      <c r="J50" s="20" cm="1">
        <f t="array" aca="1" ref="J50" ca="1">IF(I50="","",IF(I50&lt;&gt;I49,1,IF(J49=misLíneas-2,0,J49+1)))</f>
        <v>3</v>
      </c>
      <c r="K50" s="20" t="str" cm="1">
        <f t="array" aca="1" ref="K50" ca="1">IF(OR(J50=0,J50=""),"",INDEX(misCriticidades,I50)&amp;"-"&amp;IFERROR(MATCH(J50,miOrdenTarjeta,0),0))</f>
        <v>3-3</v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14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3-3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6</v>
      </c>
      <c r="I51" s="20">
        <f t="shared" ca="1" si="22"/>
        <v>21</v>
      </c>
      <c r="J51" s="20" cm="1">
        <f t="array" aca="1" ref="J51" ca="1">IF(I51="","",IF(I51&lt;&gt;I50,1,IF(J50=misLíneas-2,0,J50+1)))</f>
        <v>4</v>
      </c>
      <c r="K51" s="20" t="str" cm="1">
        <f t="array" aca="1" ref="K51" ca="1">IF(OR(J51=0,J51=""),"",INDEX(misCriticidades,I51)&amp;"-"&amp;IFERROR(MATCH(J51,miOrdenTarjeta,0),0))</f>
        <v>3-4</v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14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3-4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6</v>
      </c>
      <c r="I52" s="20">
        <f t="shared" ca="1" si="22"/>
        <v>21</v>
      </c>
      <c r="J52" s="20" cm="1">
        <f t="array" aca="1" ref="J52" ca="1">IF(I52="","",IF(I52&lt;&gt;I51,1,IF(J51=misLíneas-2,0,J51+1)))</f>
        <v>5</v>
      </c>
      <c r="K52" s="20" t="str" cm="1">
        <f t="array" aca="1" ref="K52" ca="1">IF(OR(J52=0,J52=""),"",INDEX(misCriticidades,I52)&amp;"-"&amp;IFERROR(MATCH(J52,miOrdenTarjeta,0),0))</f>
        <v>3-5</v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14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3-5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6</v>
      </c>
      <c r="I53" s="20">
        <f t="shared" ca="1" si="22"/>
        <v>21</v>
      </c>
      <c r="J53" s="20" cm="1">
        <f t="array" aca="1" ref="J53" ca="1">IF(I53="","",IF(I53&lt;&gt;I52,1,IF(J52=misLíneas-2,0,J52+1)))</f>
        <v>6</v>
      </c>
      <c r="K53" s="20" t="str" cm="1">
        <f t="array" aca="1" ref="K53" ca="1">IF(OR(J53=0,J53=""),"",INDEX(misCriticidades,I53)&amp;"-"&amp;IFERROR(MATCH(J53,miOrdenTarjeta,0),0))</f>
        <v>3-6</v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14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3-6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6</v>
      </c>
      <c r="I54" s="20">
        <f t="shared" ca="1" si="22"/>
        <v>21</v>
      </c>
      <c r="J54" s="20" cm="1">
        <f t="array" aca="1" ref="J54" ca="1">IF(I54="","",IF(I54&lt;&gt;I53,1,IF(J53=misLíneas-2,0,J53+1)))</f>
        <v>7</v>
      </c>
      <c r="K54" s="20" t="str" cm="1">
        <f t="array" aca="1" ref="K54" ca="1">IF(OR(J54=0,J54=""),"",INDEX(misCriticidades,I54)&amp;"-"&amp;IFERROR(MATCH(J54,miOrdenTarjeta,0),0))</f>
        <v>3-7</v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14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3-7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6</v>
      </c>
      <c r="I55" s="20">
        <f t="shared" ca="1" si="22"/>
        <v>21</v>
      </c>
      <c r="J55" s="20" cm="1">
        <f t="array" aca="1" ref="J55" ca="1">IF(I55="","",IF(I55&lt;&gt;I54,1,IF(J54=misLíneas-2,0,J54+1)))</f>
        <v>8</v>
      </c>
      <c r="K55" s="20" t="str" cm="1">
        <f t="array" aca="1" ref="K55" ca="1">IF(OR(J55=0,J55=""),"",INDEX(misCriticidades,I55)&amp;"-"&amp;IFERROR(MATCH(J55,miOrdenTarjeta,0),0))</f>
        <v>3-8</v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14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3-8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6</v>
      </c>
      <c r="I56" s="20">
        <f t="shared" ca="1" si="22"/>
        <v>21</v>
      </c>
      <c r="J56" s="20" cm="1">
        <f t="array" aca="1" ref="J56" ca="1">IF(I56="","",IF(I56&lt;&gt;I55,1,IF(J55=misLíneas-2,0,J55+1)))</f>
        <v>0</v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14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7</v>
      </c>
      <c r="I57" s="20">
        <f t="shared" ca="1" si="22"/>
        <v>20</v>
      </c>
      <c r="J57" s="20" cm="1">
        <f t="array" aca="1" ref="J57" ca="1">IF(I57="","",IF(I57&lt;&gt;I56,1,IF(J56=misLíneas-2,0,J56+1)))</f>
        <v>1</v>
      </c>
      <c r="K57" s="20" t="str" cm="1">
        <f t="array" aca="1" ref="K57" ca="1">IF(OR(J57=0,J57=""),"",INDEX(misCriticidades,I57)&amp;"-"&amp;IFERROR(MATCH(J57,miOrdenTarjeta,0),0))</f>
        <v>3-1</v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13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3-1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7</v>
      </c>
      <c r="I58" s="20">
        <f t="shared" ca="1" si="22"/>
        <v>20</v>
      </c>
      <c r="J58" s="20" cm="1">
        <f t="array" aca="1" ref="J58" ca="1">IF(I58="","",IF(I58&lt;&gt;I57,1,IF(J57=misLíneas-2,0,J57+1)))</f>
        <v>2</v>
      </c>
      <c r="K58" s="20" t="str" cm="1">
        <f t="array" aca="1" ref="K58" ca="1">IF(OR(J58=0,J58=""),"",INDEX(misCriticidades,I58)&amp;"-"&amp;IFERROR(MATCH(J58,miOrdenTarjeta,0),0))</f>
        <v>3-2</v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13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3-2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7</v>
      </c>
      <c r="I59" s="20">
        <f t="shared" ca="1" si="22"/>
        <v>20</v>
      </c>
      <c r="J59" s="20" cm="1">
        <f t="array" aca="1" ref="J59" ca="1">IF(I59="","",IF(I59&lt;&gt;I58,1,IF(J58=misLíneas-2,0,J58+1)))</f>
        <v>3</v>
      </c>
      <c r="K59" s="20" t="str" cm="1">
        <f t="array" aca="1" ref="K59" ca="1">IF(OR(J59=0,J59=""),"",INDEX(misCriticidades,I59)&amp;"-"&amp;IFERROR(MATCH(J59,miOrdenTarjeta,0),0))</f>
        <v>3-3</v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13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3-3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7</v>
      </c>
      <c r="I60" s="20">
        <f t="shared" ca="1" si="22"/>
        <v>20</v>
      </c>
      <c r="J60" s="20" cm="1">
        <f t="array" aca="1" ref="J60" ca="1">IF(I60="","",IF(I60&lt;&gt;I59,1,IF(J59=misLíneas-2,0,J59+1)))</f>
        <v>4</v>
      </c>
      <c r="K60" s="20" t="str" cm="1">
        <f t="array" aca="1" ref="K60" ca="1">IF(OR(J60=0,J60=""),"",INDEX(misCriticidades,I60)&amp;"-"&amp;IFERROR(MATCH(J60,miOrdenTarjeta,0),0))</f>
        <v>3-4</v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13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3-4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7</v>
      </c>
      <c r="I61" s="20">
        <f t="shared" ca="1" si="22"/>
        <v>20</v>
      </c>
      <c r="J61" s="20" cm="1">
        <f t="array" aca="1" ref="J61" ca="1">IF(I61="","",IF(I61&lt;&gt;I60,1,IF(J60=misLíneas-2,0,J60+1)))</f>
        <v>5</v>
      </c>
      <c r="K61" s="20" t="str" cm="1">
        <f t="array" aca="1" ref="K61" ca="1">IF(OR(J61=0,J61=""),"",INDEX(misCriticidades,I61)&amp;"-"&amp;IFERROR(MATCH(J61,miOrdenTarjeta,0),0))</f>
        <v>3-5</v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13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3-5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7</v>
      </c>
      <c r="I62" s="20">
        <f t="shared" ca="1" si="22"/>
        <v>20</v>
      </c>
      <c r="J62" s="20" cm="1">
        <f t="array" aca="1" ref="J62" ca="1">IF(I62="","",IF(I62&lt;&gt;I61,1,IF(J61=misLíneas-2,0,J61+1)))</f>
        <v>6</v>
      </c>
      <c r="K62" s="20" t="str" cm="1">
        <f t="array" aca="1" ref="K62" ca="1">IF(OR(J62=0,J62=""),"",INDEX(misCriticidades,I62)&amp;"-"&amp;IFERROR(MATCH(J62,miOrdenTarjeta,0),0))</f>
        <v>3-6</v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13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3-6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7</v>
      </c>
      <c r="I63" s="20">
        <f t="shared" ca="1" si="22"/>
        <v>20</v>
      </c>
      <c r="J63" s="20" cm="1">
        <f t="array" aca="1" ref="J63" ca="1">IF(I63="","",IF(I63&lt;&gt;I62,1,IF(J62=misLíneas-2,0,J62+1)))</f>
        <v>7</v>
      </c>
      <c r="K63" s="20" t="str" cm="1">
        <f t="array" aca="1" ref="K63" ca="1">IF(OR(J63=0,J63=""),"",INDEX(misCriticidades,I63)&amp;"-"&amp;IFERROR(MATCH(J63,miOrdenTarjeta,0),0))</f>
        <v>3-7</v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13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3-7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7</v>
      </c>
      <c r="I64" s="20">
        <f t="shared" ca="1" si="22"/>
        <v>20</v>
      </c>
      <c r="J64" s="20" cm="1">
        <f t="array" aca="1" ref="J64" ca="1">IF(I64="","",IF(I64&lt;&gt;I63,1,IF(J63=misLíneas-2,0,J63+1)))</f>
        <v>8</v>
      </c>
      <c r="K64" s="20" t="str" cm="1">
        <f t="array" aca="1" ref="K64" ca="1">IF(OR(J64=0,J64=""),"",INDEX(misCriticidades,I64)&amp;"-"&amp;IFERROR(MATCH(J64,miOrdenTarjeta,0),0))</f>
        <v>3-8</v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13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3-8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7</v>
      </c>
      <c r="I65" s="20">
        <f t="shared" ca="1" si="22"/>
        <v>20</v>
      </c>
      <c r="J65" s="20" cm="1">
        <f t="array" aca="1" ref="J65" ca="1">IF(I65="","",IF(I65&lt;&gt;I64,1,IF(J64=misLíneas-2,0,J64+1)))</f>
        <v>0</v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13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8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12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3-1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8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12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3-2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8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12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3-3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8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12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3-4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8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12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3-5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8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12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3-6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8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12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3-7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8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12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3-8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8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12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8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11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3-1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8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11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3-2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8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11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3-3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8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11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3-4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8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11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3-5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8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11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3-6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8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11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3-7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8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11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3-8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8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11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8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10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3-1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8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10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3-2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8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10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3-3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8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10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3-4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8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10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3-5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8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10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3-6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8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10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3-7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8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10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3-8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8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10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8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9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8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9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8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9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8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9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8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9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8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9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8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9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8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9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8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9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8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8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8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8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8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8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8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8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8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8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8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8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8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8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8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8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8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8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8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7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8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7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8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7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8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7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8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7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8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7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8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7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8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7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8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7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8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6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8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6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8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6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8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6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8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6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8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6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8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6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8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6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8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6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8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5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8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5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8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5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8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5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8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5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8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5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8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5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8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5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8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5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8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4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8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4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8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4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8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4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8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4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8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4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8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4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8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4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8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4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8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3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1-1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8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3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1-2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8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3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1-3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8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3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1-4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8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3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1-5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8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3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1-6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8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3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1-7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8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3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1-8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8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3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8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2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8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2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8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2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8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2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8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2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8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2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8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2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8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2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8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2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8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1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1-1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8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1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1-2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8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1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1-3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8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1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1-4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8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1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1-5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8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1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1-6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8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1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1-7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8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1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1-8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8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1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8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8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8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8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8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8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8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8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8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8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20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8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20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8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20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8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20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8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20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8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20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8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20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8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20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8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20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8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20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8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20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8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20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8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20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8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20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8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20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8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20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3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3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3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3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3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3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3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3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3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3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3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3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3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3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3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3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SANTIAGO XAVIER CHAFLA O�A</cp:lastModifiedBy>
  <cp:revision>0</cp:revision>
  <dcterms:created xsi:type="dcterms:W3CDTF">2022-12-26T11:27:14Z</dcterms:created>
  <dcterms:modified xsi:type="dcterms:W3CDTF">2026-07-17T03:41:28Z</dcterms:modified>
  <cp:category/>
  <cp:contentStatus/>
</cp:coreProperties>
</file>