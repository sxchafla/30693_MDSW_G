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1F526AA-6DBE-497B-8CCB-1897C59ABCF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Backlog" sheetId="1" r:id="rId1"/>
    <sheet name="Sprint 2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8" i="3" l="1"/>
  <c r="D27" i="3"/>
  <c r="C28" i="3"/>
  <c r="D28" i="3" l="1"/>
  <c r="F28" i="3" s="1"/>
  <c r="G28" i="3" s="1"/>
  <c r="H28" i="3" s="1"/>
  <c r="I28" i="3" s="1"/>
  <c r="J28" i="3" s="1"/>
  <c r="C27" i="3"/>
  <c r="E27" i="3" s="1"/>
  <c r="F27" i="3" s="1"/>
  <c r="G27" i="3" s="1"/>
  <c r="H27" i="3" s="1"/>
  <c r="I27" i="3" s="1"/>
  <c r="J27" i="3" s="1"/>
</calcChain>
</file>

<file path=xl/sharedStrings.xml><?xml version="1.0" encoding="utf-8"?>
<sst xmlns="http://schemas.openxmlformats.org/spreadsheetml/2006/main" count="178" uniqueCount="101">
  <si>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</si>
  <si>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</si>
  <si>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</si>
  <si>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</si>
  <si>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</si>
  <si>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</si>
  <si>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</si>
  <si>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</si>
  <si>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Administrador</t>
  </si>
  <si>
    <t>Alta</t>
  </si>
  <si>
    <t>Pendiente</t>
  </si>
  <si>
    <t>Mediana</t>
  </si>
  <si>
    <t>REQ006</t>
  </si>
  <si>
    <t>Registrar Cliente</t>
  </si>
  <si>
    <t>Registrar un nuevo cliente con datos únicos</t>
  </si>
  <si>
    <t>Mantener un registro ordenado y sin duplicados</t>
  </si>
  <si>
    <t>#clientes</t>
  </si>
  <si>
    <t>En proceso</t>
  </si>
  <si>
    <t>REQ007</t>
  </si>
  <si>
    <t>Buscar Cliente</t>
  </si>
  <si>
    <t>Buscar un cliente utilizando su número de cédula</t>
  </si>
  <si>
    <t>Localizar rápidamente su información</t>
  </si>
  <si>
    <t>REQ008</t>
  </si>
  <si>
    <t>Editar Cliente</t>
  </si>
  <si>
    <t>Modificar los datos de un cliente existente</t>
  </si>
  <si>
    <t>Mantener actualizada su información de contacto</t>
  </si>
  <si>
    <t>REQ009</t>
  </si>
  <si>
    <t>Eliminar Cliente</t>
  </si>
  <si>
    <t>Eliminar un cliente del sistema mediante su cédula</t>
  </si>
  <si>
    <t>Depurar registros erróneos o duplicados</t>
  </si>
  <si>
    <t>Necesito</t>
  </si>
  <si>
    <t>así podre...</t>
  </si>
  <si>
    <t>Prioridad</t>
  </si>
  <si>
    <t>Status</t>
  </si>
  <si>
    <t>Registrar nuevos clientes especificando sus datos personales</t>
  </si>
  <si>
    <t>Mantener actualizado el catálogo de clientes y evitar registros duplicados</t>
  </si>
  <si>
    <t>#intentos de ingreso</t>
  </si>
  <si>
    <t>Terminado</t>
  </si>
  <si>
    <t>Tareas</t>
  </si>
  <si>
    <t>Asignado</t>
  </si>
  <si>
    <t>Estimado</t>
  </si>
  <si>
    <t>REQ006-1</t>
  </si>
  <si>
    <t>Diseñar la tabla única de clientes los campos necesarios</t>
  </si>
  <si>
    <t>Anthony Guaycha</t>
  </si>
  <si>
    <t>REQ006-2</t>
  </si>
  <si>
    <t>Diseñar la colección clientes en MongoDB</t>
  </si>
  <si>
    <t>REQ006-3</t>
  </si>
  <si>
    <t>Implementar método registrarCliente()</t>
  </si>
  <si>
    <t>REQ006-4</t>
  </si>
  <si>
    <t>Validar campos obligatorios y cédula única</t>
  </si>
  <si>
    <t>REQ006-5</t>
  </si>
  <si>
    <t>Realizar pruebas funcionales de registro</t>
  </si>
  <si>
    <t>Consultar información de clientes de forma inmediata</t>
  </si>
  <si>
    <t>REQ007-1</t>
  </si>
  <si>
    <t>Implementar campo de búsqueda por cédula</t>
  </si>
  <si>
    <t>Santiago Chafla</t>
  </si>
  <si>
    <t>REQ007-2</t>
  </si>
  <si>
    <t xml:space="preserve">Implementar método buscarCliente() </t>
  </si>
  <si>
    <t>REQ007-3</t>
  </si>
  <si>
    <t xml:space="preserve">Configurar la cédula como índice </t>
  </si>
  <si>
    <t>REQ007-4</t>
  </si>
  <si>
    <t>Validar cédula existente e inexistente</t>
  </si>
  <si>
    <t>REQ007-5</t>
  </si>
  <si>
    <t>Realizar pruebas de búsqueda</t>
  </si>
  <si>
    <t>Modificar los datos de un cliente localizándolo por su cédula</t>
  </si>
  <si>
    <t>Corregir información sin alterar la identidad del cliente</t>
  </si>
  <si>
    <t>REQ008-1</t>
  </si>
  <si>
    <t>Permitir selección de cliente desde la tabla para editar</t>
  </si>
  <si>
    <t>Janine Cayo</t>
  </si>
  <si>
    <t>REQ008-2</t>
  </si>
  <si>
    <t>Bloquear edición del campo cédula</t>
  </si>
  <si>
    <t>REQ008-3</t>
  </si>
  <si>
    <t>Implementar método editarCliente()</t>
  </si>
  <si>
    <t>REQ008-4</t>
  </si>
  <si>
    <t>Validar actualización correcta de datos</t>
  </si>
  <si>
    <t>REQ008-5</t>
  </si>
  <si>
    <t>Realizar pruebas de edición</t>
  </si>
  <si>
    <t>Eliminar un cliente del sistema mediante su número de cédula</t>
  </si>
  <si>
    <t>Mantener la base de datos actualizada y libre de registros innecesarios</t>
  </si>
  <si>
    <t>Media</t>
  </si>
  <si>
    <t>REQ009-1</t>
  </si>
  <si>
    <t>Permitir selección de cliente desde la tabla</t>
  </si>
  <si>
    <t>Edmir Madrid</t>
  </si>
  <si>
    <t>REQ009-2</t>
  </si>
  <si>
    <t>Implementar método eliminarCliente()</t>
  </si>
  <si>
    <t>REQ009-3</t>
  </si>
  <si>
    <t>Validar confirmación antes de eliminar</t>
  </si>
  <si>
    <t>REQ009-4</t>
  </si>
  <si>
    <t>Verificar que el cliente no tenga pedidos asociados</t>
  </si>
  <si>
    <t>REQ009-5</t>
  </si>
  <si>
    <t>Realizar pruebas y manejo de errores</t>
  </si>
  <si>
    <t>Dia 1</t>
  </si>
  <si>
    <t>Dia 2</t>
  </si>
  <si>
    <t>Dia 3</t>
  </si>
  <si>
    <t>Dia 4</t>
  </si>
  <si>
    <t>Dia 5</t>
  </si>
  <si>
    <t>Dia 6</t>
  </si>
  <si>
    <t>Dia 7</t>
  </si>
  <si>
    <t>Total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</si>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</sst>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2"/>
      <color rgb="FF000000"/>
      <name val="&quot;Times New Roman&quot;"/>
    </font>
    <font>
      <b/>
      <sz val="12"/>
      <color rgb="FF000000"/>
      <name val="&quot;Times New Roman&quot;"/>
    </font>
    <font>
      <sz val="12"/>
      <color rgb="FF4472C4"/>
      <name val="&quot;Times New Roman&quot;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0"/>
      <name val="Arial"/>
      <family val="2"/>
      <scheme val="minor"/>
    </font>
    <font>
      <sz val="12"/>
      <color rgb="FF000000"/>
      <name val="Arial"/>
      <family val="2"/>
      <scheme val="major"/>
    </font>
    <font>
      <sz val="11"/>
      <color rgb="FF000000"/>
      <name val="Inconsolata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D966"/>
        <bgColor rgb="FFFFD96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4"/>
  </cellStyleXfs>
  <cellXfs count="31"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0" borderId="1" xfId="0" applyFont="1" applyBorder="1"/>
    <xf numFmtId="0" fontId="4" fillId="2" borderId="1" xfId="0" applyFont="1" applyFill="1" applyBorder="1"/>
    <xf numFmtId="0" fontId="3" fillId="0" borderId="1" xfId="0" applyFont="1" applyBorder="1"/>
    <xf numFmtId="0" fontId="6" fillId="0" borderId="0" xfId="0" applyFont="1" applyBorder="1"/>
    <xf numFmtId="0" fontId="0" fillId="0" borderId="0" xfId="0" applyBorder="1"/>
    <xf numFmtId="0" fontId="7" fillId="0" borderId="4" xfId="0" applyFont="1" applyFill="1"/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8" fillId="0" borderId="5" xfId="0" applyFont="1" applyFill="1" applyBorder="1" applyAlignment="1">
      <alignment horizontal="right"/>
    </xf>
    <xf numFmtId="0" fontId="8" fillId="3" borderId="5" xfId="0" applyFont="1" applyFill="1" applyBorder="1" applyAlignment="1">
      <alignment horizontal="right"/>
    </xf>
    <xf numFmtId="0" fontId="8" fillId="4" borderId="5" xfId="0" applyFont="1" applyFill="1" applyBorder="1" applyAlignment="1">
      <alignment horizontal="right"/>
    </xf>
    <xf numFmtId="0" fontId="5" fillId="4" borderId="5" xfId="0" applyFont="1" applyFill="1" applyBorder="1" applyAlignment="1">
      <alignment horizontal="right"/>
    </xf>
    <xf numFmtId="0" fontId="8" fillId="4" borderId="5" xfId="0" applyFont="1" applyFill="1" applyBorder="1" applyAlignment="1">
      <alignment horizontal="right" vertical="center" wrapText="1"/>
    </xf>
    <xf numFmtId="0" fontId="8" fillId="5" borderId="5" xfId="0" applyFont="1" applyFill="1" applyBorder="1" applyAlignment="1">
      <alignment horizontal="right"/>
    </xf>
    <xf numFmtId="0" fontId="5" fillId="5" borderId="5" xfId="0" applyFont="1" applyFill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0" fillId="0" borderId="4" xfId="0" applyBorder="1"/>
    <xf numFmtId="0" fontId="6" fillId="6" borderId="6" xfId="0" applyFont="1" applyFill="1" applyBorder="1"/>
    <xf numFmtId="0" fontId="6" fillId="0" borderId="6" xfId="0" applyFont="1" applyBorder="1"/>
    <xf numFmtId="0" fontId="11" fillId="3" borderId="6" xfId="0" applyFont="1" applyFill="1" applyBorder="1"/>
    <xf numFmtId="0" fontId="2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4750892233145413"/>
          <c:y val="8.5315011299263277E-2"/>
          <c:w val="0.67766258211806363"/>
          <c:h val="0.80232815492658016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burdonchart!$B$27</c:f>
              <c:strCache>
                <c:ptCount val="1"/>
                <c:pt idx="0">
                  <c:v>Horas Estimadas</c:v>
                </c:pt>
              </c:strCache>
            </c:strRef>
          </c:tx>
          <c:spPr>
            <a:ln cmpd="sng">
              <a:solidFill>
                <a:srgbClr val="3366CC"/>
              </a:solidFill>
              <a:prstDash val="solid"/>
            </a:ln>
          </c:spPr>
          <c:marker>
            <c:symbol val="none"/>
          </c:marker>
          <c:val>
            <c:numRef>
              <c:f>burdonchart!$C$27:$J$27</c:f>
              <c:numCache>
                <c:formatCode>General</c:formatCode>
                <c:ptCount val="8"/>
                <c:pt idx="0">
                  <c:v>48</c:v>
                </c:pt>
                <c:pt idx="1">
                  <c:v>48</c:v>
                </c:pt>
                <c:pt idx="2">
                  <c:v>44</c:v>
                </c:pt>
                <c:pt idx="3">
                  <c:v>31</c:v>
                </c:pt>
                <c:pt idx="4">
                  <c:v>21</c:v>
                </c:pt>
                <c:pt idx="5">
                  <c:v>12</c:v>
                </c:pt>
                <c:pt idx="6">
                  <c:v>4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0-407F-ADCB-2CAE671E06F0}"/>
            </c:ext>
          </c:extLst>
        </c:ser>
        <c:ser>
          <c:idx val="1"/>
          <c:order val="1"/>
          <c:tx>
            <c:strRef>
              <c:f>burdonchart!$B$28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cmpd="sng">
              <a:solidFill>
                <a:srgbClr val="DC3912"/>
              </a:solidFill>
              <a:prstDash val="solid"/>
            </a:ln>
          </c:spPr>
          <c:marker>
            <c:symbol val="none"/>
          </c:marker>
          <c:val>
            <c:numRef>
              <c:f>burdonchart!$C$28:$J$28</c:f>
              <c:numCache>
                <c:formatCode>General</c:formatCode>
                <c:ptCount val="8"/>
                <c:pt idx="0">
                  <c:v>48</c:v>
                </c:pt>
                <c:pt idx="1">
                  <c:v>41.142857142857146</c:v>
                </c:pt>
                <c:pt idx="2">
                  <c:v>34.285714285714292</c:v>
                </c:pt>
                <c:pt idx="3">
                  <c:v>27.428571428571434</c:v>
                </c:pt>
                <c:pt idx="4">
                  <c:v>20.571428571428577</c:v>
                </c:pt>
                <c:pt idx="5">
                  <c:v>13.714285714285719</c:v>
                </c:pt>
                <c:pt idx="6">
                  <c:v>6.8571428571428621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0-407F-ADCB-2CAE671E0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1864934"/>
        <c:axId val="650125582"/>
      </c:lineChart>
      <c:catAx>
        <c:axId val="2071864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650125582"/>
        <c:crosses val="autoZero"/>
        <c:auto val="1"/>
        <c:lblAlgn val="ctr"/>
        <c:lblOffset val="100"/>
        <c:noMultiLvlLbl val="1"/>
      </c:catAx>
      <c:valAx>
        <c:axId val="650125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20718649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456956</xdr:colOff>
      <xdr:row>2</xdr:row>
      <xdr:rowOff>0</xdr:rowOff>
    </xdr:from>
    <xdr:ext cx="8048625" cy="4933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zoomScale="87" zoomScaleNormal="87" workbookViewId="0">
      <selection activeCell="C13" sqref="C13"/>
    </sheetView>
  </sheetViews>
  <sheetFormatPr baseColWidth="10" defaultColWidth="12.5703125" defaultRowHeight="15" customHeight="1"/>
  <cols>
    <col min="1" max="1" width="12.42578125" style="8" customWidth="1"/>
    <col min="2" max="2" width="34.85546875" style="8" customWidth="1"/>
    <col min="3" max="3" width="16.85546875" style="8" customWidth="1"/>
    <col min="4" max="4" width="53.42578125" style="8" customWidth="1"/>
    <col min="5" max="5" width="40.42578125" style="8" customWidth="1"/>
    <col min="6" max="6" width="20.28515625" style="8" customWidth="1"/>
    <col min="7" max="26" width="12.42578125" style="8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>
      <c r="A2" s="20" t="s">
        <v>12</v>
      </c>
      <c r="B2" s="21" t="s">
        <v>13</v>
      </c>
      <c r="C2" s="21" t="s">
        <v>8</v>
      </c>
      <c r="D2" s="21" t="s">
        <v>14</v>
      </c>
      <c r="E2" s="21" t="s">
        <v>15</v>
      </c>
      <c r="F2" s="21" t="s">
        <v>16</v>
      </c>
      <c r="G2" s="21" t="s">
        <v>9</v>
      </c>
      <c r="H2" s="21" t="s">
        <v>17</v>
      </c>
    </row>
    <row r="3" spans="1:8" ht="28.5" customHeight="1">
      <c r="A3" s="20" t="s">
        <v>18</v>
      </c>
      <c r="B3" s="21" t="s">
        <v>19</v>
      </c>
      <c r="C3" s="21" t="s">
        <v>8</v>
      </c>
      <c r="D3" s="21" t="s">
        <v>20</v>
      </c>
      <c r="E3" s="21" t="s">
        <v>21</v>
      </c>
      <c r="F3" s="21" t="s">
        <v>16</v>
      </c>
      <c r="G3" s="21" t="s">
        <v>9</v>
      </c>
      <c r="H3" s="21" t="s">
        <v>10</v>
      </c>
    </row>
    <row r="4" spans="1:8" ht="31.5" customHeight="1">
      <c r="A4" s="20" t="s">
        <v>22</v>
      </c>
      <c r="B4" s="21" t="s">
        <v>23</v>
      </c>
      <c r="C4" s="21" t="s">
        <v>8</v>
      </c>
      <c r="D4" s="21" t="s">
        <v>24</v>
      </c>
      <c r="E4" s="21" t="s">
        <v>25</v>
      </c>
      <c r="F4" s="21" t="s">
        <v>16</v>
      </c>
      <c r="G4" s="21" t="s">
        <v>11</v>
      </c>
      <c r="H4" s="21" t="s">
        <v>10</v>
      </c>
    </row>
    <row r="5" spans="1:8" ht="29.25" customHeight="1">
      <c r="A5" s="20" t="s">
        <v>26</v>
      </c>
      <c r="B5" s="21" t="s">
        <v>27</v>
      </c>
      <c r="C5" s="21" t="s">
        <v>8</v>
      </c>
      <c r="D5" s="21" t="s">
        <v>28</v>
      </c>
      <c r="E5" s="21" t="s">
        <v>29</v>
      </c>
      <c r="F5" s="21" t="s">
        <v>16</v>
      </c>
      <c r="G5" s="21" t="s">
        <v>11</v>
      </c>
      <c r="H5" s="21" t="s">
        <v>10</v>
      </c>
    </row>
    <row r="6" spans="1:8" ht="23.1" customHeight="1"/>
    <row r="7" spans="1:8" ht="21" customHeight="1"/>
    <row r="8" spans="1:8" ht="19.5" customHeight="1"/>
    <row r="9" spans="1:8" ht="18.600000000000001" customHeight="1"/>
    <row r="10" spans="1:8" ht="18.600000000000001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9"/>
  <sheetViews>
    <sheetView workbookViewId="0">
      <selection activeCell="B21" sqref="B21:E21"/>
    </sheetView>
  </sheetViews>
  <sheetFormatPr baseColWidth="10" defaultColWidth="12.5703125" defaultRowHeight="15" customHeight="1"/>
  <cols>
    <col min="2" max="2" width="47.42578125" style="8" customWidth="1"/>
    <col min="3" max="3" width="40.5703125" style="8" customWidth="1"/>
    <col min="4" max="4" width="54.85546875" style="8" customWidth="1"/>
    <col min="5" max="5" width="65.28515625" style="8" customWidth="1"/>
    <col min="6" max="6" width="19.28515625" style="8" customWidth="1"/>
    <col min="7" max="7" width="12.42578125" style="8" customWidth="1"/>
  </cols>
  <sheetData>
    <row r="1" spans="1:8" ht="15" customHeight="1">
      <c r="A1" s="2" t="s">
        <v>0</v>
      </c>
      <c r="B1" s="2" t="s">
        <v>1</v>
      </c>
      <c r="C1" s="2" t="s">
        <v>2</v>
      </c>
      <c r="D1" s="2" t="s">
        <v>30</v>
      </c>
      <c r="E1" s="2" t="s">
        <v>31</v>
      </c>
      <c r="F1" s="2" t="s">
        <v>5</v>
      </c>
      <c r="G1" s="2" t="s">
        <v>32</v>
      </c>
      <c r="H1" s="2" t="s">
        <v>33</v>
      </c>
    </row>
    <row r="2" spans="1:8" ht="15" customHeight="1">
      <c r="A2" s="3" t="s">
        <v>12</v>
      </c>
      <c r="B2" s="3" t="s">
        <v>13</v>
      </c>
      <c r="C2" s="3" t="s">
        <v>8</v>
      </c>
      <c r="D2" s="3" t="s">
        <v>34</v>
      </c>
      <c r="E2" s="3" t="s">
        <v>35</v>
      </c>
      <c r="F2" s="5" t="s">
        <v>36</v>
      </c>
      <c r="G2" s="3" t="s">
        <v>9</v>
      </c>
      <c r="H2" s="3" t="s">
        <v>37</v>
      </c>
    </row>
    <row r="3" spans="1:8" ht="15" customHeight="1">
      <c r="A3" s="4"/>
      <c r="B3" s="30" t="s">
        <v>38</v>
      </c>
      <c r="C3" s="27"/>
      <c r="D3" s="27"/>
      <c r="E3" s="28"/>
      <c r="F3" s="6" t="s">
        <v>39</v>
      </c>
      <c r="G3" s="4"/>
      <c r="H3" s="6" t="s">
        <v>40</v>
      </c>
    </row>
    <row r="4" spans="1:8" ht="15" customHeight="1">
      <c r="A4" s="4" t="s">
        <v>41</v>
      </c>
      <c r="B4" s="26" t="s">
        <v>42</v>
      </c>
      <c r="C4" s="27"/>
      <c r="D4" s="27"/>
      <c r="E4" s="28"/>
      <c r="F4" s="4" t="s">
        <v>43</v>
      </c>
      <c r="G4" s="4"/>
      <c r="H4" s="4">
        <v>4</v>
      </c>
    </row>
    <row r="5" spans="1:8" ht="15" customHeight="1">
      <c r="A5" s="4" t="s">
        <v>44</v>
      </c>
      <c r="B5" s="26" t="s">
        <v>45</v>
      </c>
      <c r="C5" s="27"/>
      <c r="D5" s="27"/>
      <c r="E5" s="28"/>
      <c r="F5" s="4" t="s">
        <v>43</v>
      </c>
      <c r="G5" s="4"/>
      <c r="H5" s="4">
        <v>2</v>
      </c>
    </row>
    <row r="6" spans="1:8" ht="15" customHeight="1">
      <c r="A6" s="4" t="s">
        <v>46</v>
      </c>
      <c r="B6" s="26" t="s">
        <v>47</v>
      </c>
      <c r="C6" s="27"/>
      <c r="D6" s="27"/>
      <c r="E6" s="28"/>
      <c r="F6" s="4" t="s">
        <v>43</v>
      </c>
      <c r="G6" s="4"/>
      <c r="H6" s="4">
        <v>3</v>
      </c>
    </row>
    <row r="7" spans="1:8" ht="15" customHeight="1">
      <c r="A7" s="4" t="s">
        <v>48</v>
      </c>
      <c r="B7" s="26" t="s">
        <v>49</v>
      </c>
      <c r="C7" s="27"/>
      <c r="D7" s="27"/>
      <c r="E7" s="28"/>
      <c r="F7" s="4" t="s">
        <v>43</v>
      </c>
      <c r="G7" s="4"/>
      <c r="H7" s="4">
        <v>2</v>
      </c>
    </row>
    <row r="8" spans="1:8" ht="15" customHeight="1">
      <c r="A8" s="4" t="s">
        <v>50</v>
      </c>
      <c r="B8" s="26" t="s">
        <v>51</v>
      </c>
      <c r="C8" s="27"/>
      <c r="D8" s="27"/>
      <c r="E8" s="28"/>
      <c r="F8" s="4" t="s">
        <v>43</v>
      </c>
      <c r="G8" s="4"/>
      <c r="H8" s="4">
        <v>2</v>
      </c>
    </row>
    <row r="9" spans="1:8" ht="15" customHeight="1">
      <c r="A9" s="3" t="s">
        <v>18</v>
      </c>
      <c r="B9" s="3" t="s">
        <v>19</v>
      </c>
      <c r="C9" s="3" t="s">
        <v>8</v>
      </c>
      <c r="D9" s="3" t="s">
        <v>20</v>
      </c>
      <c r="E9" s="3" t="s">
        <v>52</v>
      </c>
      <c r="F9" s="5" t="s">
        <v>36</v>
      </c>
      <c r="G9" s="3" t="s">
        <v>9</v>
      </c>
      <c r="H9" s="3" t="s">
        <v>37</v>
      </c>
    </row>
    <row r="10" spans="1:8" ht="15" customHeight="1">
      <c r="A10" s="4"/>
      <c r="B10" s="30" t="s">
        <v>38</v>
      </c>
      <c r="C10" s="27"/>
      <c r="D10" s="27"/>
      <c r="E10" s="28"/>
      <c r="F10" s="6"/>
      <c r="G10" s="4"/>
      <c r="H10" s="6"/>
    </row>
    <row r="11" spans="1:8" ht="15" customHeight="1">
      <c r="A11" s="4" t="s">
        <v>53</v>
      </c>
      <c r="B11" s="29" t="s">
        <v>54</v>
      </c>
      <c r="C11" s="27"/>
      <c r="D11" s="27"/>
      <c r="E11" s="28"/>
      <c r="F11" s="4" t="s">
        <v>55</v>
      </c>
      <c r="G11" s="4"/>
      <c r="H11" s="4">
        <v>3</v>
      </c>
    </row>
    <row r="12" spans="1:8" ht="15" customHeight="1">
      <c r="A12" s="4" t="s">
        <v>56</v>
      </c>
      <c r="B12" s="29" t="s">
        <v>57</v>
      </c>
      <c r="C12" s="27"/>
      <c r="D12" s="27"/>
      <c r="E12" s="28"/>
      <c r="F12" s="4" t="s">
        <v>55</v>
      </c>
      <c r="G12" s="4"/>
      <c r="H12" s="4">
        <v>3</v>
      </c>
    </row>
    <row r="13" spans="1:8" ht="15" customHeight="1">
      <c r="A13" s="4" t="s">
        <v>58</v>
      </c>
      <c r="B13" s="29" t="s">
        <v>59</v>
      </c>
      <c r="C13" s="27"/>
      <c r="D13" s="27"/>
      <c r="E13" s="28"/>
      <c r="F13" s="4" t="s">
        <v>55</v>
      </c>
      <c r="G13" s="4"/>
      <c r="H13" s="4">
        <v>2</v>
      </c>
    </row>
    <row r="14" spans="1:8" ht="15" customHeight="1">
      <c r="A14" s="4" t="s">
        <v>60</v>
      </c>
      <c r="B14" s="29" t="s">
        <v>61</v>
      </c>
      <c r="C14" s="27"/>
      <c r="D14" s="27"/>
      <c r="E14" s="28"/>
      <c r="F14" s="4" t="s">
        <v>55</v>
      </c>
      <c r="G14" s="4"/>
      <c r="H14" s="4">
        <v>2</v>
      </c>
    </row>
    <row r="15" spans="1:8" ht="15" customHeight="1">
      <c r="A15" s="4" t="s">
        <v>62</v>
      </c>
      <c r="B15" s="29" t="s">
        <v>63</v>
      </c>
      <c r="C15" s="27"/>
      <c r="D15" s="27"/>
      <c r="E15" s="28"/>
      <c r="F15" s="4" t="s">
        <v>55</v>
      </c>
      <c r="G15" s="4"/>
      <c r="H15" s="4">
        <v>2</v>
      </c>
    </row>
    <row r="16" spans="1:8" ht="15" customHeight="1">
      <c r="A16" s="3" t="s">
        <v>22</v>
      </c>
      <c r="B16" s="3" t="s">
        <v>23</v>
      </c>
      <c r="C16" s="3" t="s">
        <v>8</v>
      </c>
      <c r="D16" s="3" t="s">
        <v>64</v>
      </c>
      <c r="E16" s="3" t="s">
        <v>65</v>
      </c>
      <c r="F16" s="5" t="s">
        <v>36</v>
      </c>
      <c r="G16" s="3" t="s">
        <v>9</v>
      </c>
      <c r="H16" s="3" t="s">
        <v>37</v>
      </c>
    </row>
    <row r="17" spans="1:8" ht="15" customHeight="1">
      <c r="A17" s="4"/>
      <c r="B17" s="30" t="s">
        <v>38</v>
      </c>
      <c r="C17" s="27"/>
      <c r="D17" s="27"/>
      <c r="E17" s="28"/>
      <c r="F17" s="6"/>
      <c r="G17" s="4"/>
      <c r="H17" s="6"/>
    </row>
    <row r="18" spans="1:8" ht="15" customHeight="1">
      <c r="A18" s="4" t="s">
        <v>66</v>
      </c>
      <c r="B18" s="29" t="s">
        <v>67</v>
      </c>
      <c r="C18" s="27"/>
      <c r="D18" s="27"/>
      <c r="E18" s="28"/>
      <c r="F18" s="4" t="s">
        <v>68</v>
      </c>
      <c r="G18" s="4"/>
      <c r="H18" s="4">
        <v>4</v>
      </c>
    </row>
    <row r="19" spans="1:8" ht="15" customHeight="1">
      <c r="A19" s="4" t="s">
        <v>69</v>
      </c>
      <c r="B19" s="29" t="s">
        <v>70</v>
      </c>
      <c r="C19" s="27"/>
      <c r="D19" s="27"/>
      <c r="E19" s="28"/>
      <c r="F19" s="4" t="s">
        <v>68</v>
      </c>
      <c r="G19" s="4"/>
      <c r="H19" s="4">
        <v>1</v>
      </c>
    </row>
    <row r="20" spans="1:8" ht="15" customHeight="1">
      <c r="A20" s="4" t="s">
        <v>71</v>
      </c>
      <c r="B20" s="29" t="s">
        <v>72</v>
      </c>
      <c r="C20" s="27"/>
      <c r="D20" s="27"/>
      <c r="E20" s="28"/>
      <c r="F20" s="4" t="s">
        <v>68</v>
      </c>
      <c r="G20" s="4"/>
      <c r="H20" s="4">
        <v>3</v>
      </c>
    </row>
    <row r="21" spans="1:8" ht="15" customHeight="1">
      <c r="A21" s="4" t="s">
        <v>73</v>
      </c>
      <c r="B21" s="29" t="s">
        <v>74</v>
      </c>
      <c r="C21" s="27"/>
      <c r="D21" s="27"/>
      <c r="E21" s="28"/>
      <c r="F21" s="4" t="s">
        <v>68</v>
      </c>
      <c r="G21" s="4"/>
      <c r="H21" s="4">
        <v>2</v>
      </c>
    </row>
    <row r="22" spans="1:8" ht="15.6" customHeight="1">
      <c r="A22" s="4" t="s">
        <v>75</v>
      </c>
      <c r="B22" s="29" t="s">
        <v>76</v>
      </c>
      <c r="C22" s="27"/>
      <c r="D22" s="27"/>
      <c r="E22" s="28"/>
      <c r="F22" s="4" t="s">
        <v>68</v>
      </c>
      <c r="G22" s="4"/>
      <c r="H22" s="4">
        <v>2</v>
      </c>
    </row>
    <row r="23" spans="1:8" ht="15.6" customHeight="1">
      <c r="A23" s="3" t="s">
        <v>26</v>
      </c>
      <c r="B23" s="3" t="s">
        <v>27</v>
      </c>
      <c r="C23" s="3" t="s">
        <v>8</v>
      </c>
      <c r="D23" s="3" t="s">
        <v>77</v>
      </c>
      <c r="E23" s="3" t="s">
        <v>78</v>
      </c>
      <c r="F23" s="5" t="s">
        <v>36</v>
      </c>
      <c r="G23" s="3" t="s">
        <v>79</v>
      </c>
      <c r="H23" s="3" t="s">
        <v>10</v>
      </c>
    </row>
    <row r="24" spans="1:8" ht="15.6" customHeight="1">
      <c r="A24" s="4"/>
      <c r="B24" s="30" t="s">
        <v>38</v>
      </c>
      <c r="C24" s="27"/>
      <c r="D24" s="27"/>
      <c r="E24" s="28"/>
      <c r="F24" s="6"/>
      <c r="G24" s="4"/>
      <c r="H24" s="6"/>
    </row>
    <row r="25" spans="1:8" ht="15.6" customHeight="1">
      <c r="A25" s="4" t="s">
        <v>80</v>
      </c>
      <c r="B25" s="29" t="s">
        <v>81</v>
      </c>
      <c r="C25" s="27"/>
      <c r="D25" s="27"/>
      <c r="E25" s="28"/>
      <c r="F25" s="4" t="s">
        <v>82</v>
      </c>
      <c r="G25" s="4"/>
      <c r="H25" s="4">
        <v>3</v>
      </c>
    </row>
    <row r="26" spans="1:8" ht="15.6" customHeight="1">
      <c r="A26" s="4" t="s">
        <v>83</v>
      </c>
      <c r="B26" s="29" t="s">
        <v>84</v>
      </c>
      <c r="C26" s="27"/>
      <c r="D26" s="27"/>
      <c r="E26" s="28"/>
      <c r="F26" s="4" t="s">
        <v>82</v>
      </c>
      <c r="G26" s="4"/>
      <c r="H26" s="4">
        <v>2</v>
      </c>
    </row>
    <row r="27" spans="1:8" ht="15.6" customHeight="1">
      <c r="A27" s="4" t="s">
        <v>85</v>
      </c>
      <c r="B27" s="29" t="s">
        <v>86</v>
      </c>
      <c r="C27" s="27"/>
      <c r="D27" s="27"/>
      <c r="E27" s="28"/>
      <c r="F27" s="4" t="s">
        <v>82</v>
      </c>
      <c r="G27" s="4"/>
      <c r="H27" s="4">
        <v>2</v>
      </c>
    </row>
    <row r="28" spans="1:8" ht="15.6" customHeight="1">
      <c r="A28" s="4" t="s">
        <v>87</v>
      </c>
      <c r="B28" s="29" t="s">
        <v>88</v>
      </c>
      <c r="C28" s="27"/>
      <c r="D28" s="27"/>
      <c r="E28" s="28"/>
      <c r="F28" s="4" t="s">
        <v>82</v>
      </c>
      <c r="G28" s="4"/>
      <c r="H28" s="4">
        <v>2</v>
      </c>
    </row>
    <row r="29" spans="1:8" ht="15.6" customHeight="1">
      <c r="A29" s="4" t="s">
        <v>89</v>
      </c>
      <c r="B29" s="29" t="s">
        <v>90</v>
      </c>
      <c r="C29" s="27"/>
      <c r="D29" s="27"/>
      <c r="E29" s="28"/>
      <c r="F29" s="4" t="s">
        <v>82</v>
      </c>
      <c r="G29" s="4"/>
      <c r="H29" s="4">
        <v>2</v>
      </c>
    </row>
  </sheetData>
  <mergeCells count="24">
    <mergeCell ref="B29:E29"/>
    <mergeCell ref="B19:E19"/>
    <mergeCell ref="B10:E10"/>
    <mergeCell ref="B28:E28"/>
    <mergeCell ref="B27:E27"/>
    <mergeCell ref="B12:E12"/>
    <mergeCell ref="B21:E21"/>
    <mergeCell ref="B11:E11"/>
    <mergeCell ref="B14:E14"/>
    <mergeCell ref="B17:E17"/>
    <mergeCell ref="B13:E13"/>
    <mergeCell ref="B26:E26"/>
    <mergeCell ref="B4:E4"/>
    <mergeCell ref="B7:E7"/>
    <mergeCell ref="B25:E25"/>
    <mergeCell ref="B3:E3"/>
    <mergeCell ref="B22:E22"/>
    <mergeCell ref="B18:E18"/>
    <mergeCell ref="B8:E8"/>
    <mergeCell ref="B6:E6"/>
    <mergeCell ref="B15:E15"/>
    <mergeCell ref="B24:E24"/>
    <mergeCell ref="B5:E5"/>
    <mergeCell ref="B20:E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tabSelected="1" zoomScale="65" zoomScaleNormal="65" workbookViewId="0">
      <selection activeCell="F31" sqref="F31"/>
    </sheetView>
  </sheetViews>
  <sheetFormatPr baseColWidth="10" defaultColWidth="12.5703125" defaultRowHeight="15" customHeight="1"/>
  <cols>
    <col min="1" max="1" width="12.5703125" style="22"/>
    <col min="2" max="2" width="23.42578125" style="8" customWidth="1"/>
    <col min="3" max="3" width="17.85546875" style="8" customWidth="1"/>
    <col min="4" max="4" width="12.42578125" style="8" customWidth="1"/>
    <col min="5" max="5" width="11.140625" style="8" customWidth="1"/>
    <col min="6" max="27" width="12.42578125" style="8" customWidth="1"/>
  </cols>
  <sheetData>
    <row r="1" spans="2:12" s="22" customFormat="1" ht="15" customHeight="1"/>
    <row r="2" spans="2:12" s="22" customFormat="1" ht="15" customHeight="1"/>
    <row r="3" spans="2:12" ht="15.75" customHeight="1">
      <c r="B3" s="10" t="s">
        <v>0</v>
      </c>
      <c r="C3" s="10" t="s">
        <v>40</v>
      </c>
      <c r="D3" s="10" t="s">
        <v>91</v>
      </c>
      <c r="E3" s="10" t="s">
        <v>92</v>
      </c>
      <c r="F3" s="10" t="s">
        <v>93</v>
      </c>
      <c r="G3" s="10" t="s">
        <v>94</v>
      </c>
      <c r="H3" s="10" t="s">
        <v>95</v>
      </c>
      <c r="I3" s="10" t="s">
        <v>96</v>
      </c>
      <c r="J3" s="10" t="s">
        <v>97</v>
      </c>
      <c r="K3" s="10" t="s">
        <v>98</v>
      </c>
    </row>
    <row r="4" spans="2:12" ht="15.75" customHeight="1">
      <c r="B4" s="11" t="s">
        <v>41</v>
      </c>
      <c r="C4" s="15">
        <v>4</v>
      </c>
      <c r="D4" s="11">
        <v>0</v>
      </c>
      <c r="E4" s="11">
        <v>2</v>
      </c>
      <c r="F4" s="11">
        <v>2</v>
      </c>
      <c r="G4" s="11">
        <v>0</v>
      </c>
      <c r="H4" s="11">
        <v>0</v>
      </c>
      <c r="I4" s="11">
        <v>0</v>
      </c>
      <c r="J4" s="11">
        <v>0</v>
      </c>
      <c r="K4" s="18">
        <v>4</v>
      </c>
    </row>
    <row r="5" spans="2:12" ht="15.75" customHeight="1">
      <c r="B5" s="11" t="s">
        <v>44</v>
      </c>
      <c r="C5" s="16">
        <v>2</v>
      </c>
      <c r="D5" s="12">
        <v>0</v>
      </c>
      <c r="E5" s="12">
        <v>2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9">
        <v>2</v>
      </c>
      <c r="L5" s="7"/>
    </row>
    <row r="6" spans="2:12" ht="15.75" customHeight="1">
      <c r="B6" s="11" t="s">
        <v>46</v>
      </c>
      <c r="C6" s="16">
        <v>3</v>
      </c>
      <c r="D6" s="13">
        <v>0</v>
      </c>
      <c r="E6" s="12">
        <v>0</v>
      </c>
      <c r="F6" s="12">
        <v>3</v>
      </c>
      <c r="G6" s="12">
        <v>0</v>
      </c>
      <c r="H6" s="12">
        <v>0</v>
      </c>
      <c r="I6" s="12">
        <v>0</v>
      </c>
      <c r="J6" s="12">
        <v>0</v>
      </c>
      <c r="K6" s="19">
        <v>3</v>
      </c>
      <c r="L6" s="9"/>
    </row>
    <row r="7" spans="2:12" ht="15.75" customHeight="1">
      <c r="B7" s="11" t="s">
        <v>48</v>
      </c>
      <c r="C7" s="16">
        <v>2</v>
      </c>
      <c r="D7" s="13">
        <v>0</v>
      </c>
      <c r="E7" s="12">
        <v>0</v>
      </c>
      <c r="F7" s="12">
        <v>2</v>
      </c>
      <c r="G7" s="12">
        <v>0</v>
      </c>
      <c r="H7" s="12">
        <v>0</v>
      </c>
      <c r="I7" s="12">
        <v>0</v>
      </c>
      <c r="J7" s="12">
        <v>0</v>
      </c>
      <c r="K7" s="19">
        <v>2</v>
      </c>
      <c r="L7" s="9"/>
    </row>
    <row r="8" spans="2:12" ht="15.75" customHeight="1">
      <c r="B8" s="12" t="s">
        <v>50</v>
      </c>
      <c r="C8" s="16">
        <v>2</v>
      </c>
      <c r="D8" s="13">
        <v>0</v>
      </c>
      <c r="E8" s="12">
        <v>0</v>
      </c>
      <c r="F8" s="12">
        <v>1</v>
      </c>
      <c r="G8" s="12">
        <v>1</v>
      </c>
      <c r="H8" s="12">
        <v>0</v>
      </c>
      <c r="I8" s="12">
        <v>0</v>
      </c>
      <c r="J8" s="12">
        <v>0</v>
      </c>
      <c r="K8" s="19">
        <v>2</v>
      </c>
      <c r="L8" s="9"/>
    </row>
    <row r="9" spans="2:12" ht="15.75" customHeight="1">
      <c r="B9" s="12" t="s">
        <v>53</v>
      </c>
      <c r="C9" s="16">
        <v>3</v>
      </c>
      <c r="D9" s="13">
        <v>0</v>
      </c>
      <c r="E9" s="12">
        <v>0</v>
      </c>
      <c r="F9" s="12">
        <v>3</v>
      </c>
      <c r="G9" s="12">
        <v>0</v>
      </c>
      <c r="H9" s="12">
        <v>0</v>
      </c>
      <c r="I9" s="12">
        <v>0</v>
      </c>
      <c r="J9" s="12">
        <v>0</v>
      </c>
      <c r="K9" s="19">
        <v>3</v>
      </c>
      <c r="L9" s="9"/>
    </row>
    <row r="10" spans="2:12" ht="15.75" customHeight="1">
      <c r="B10" s="11" t="s">
        <v>56</v>
      </c>
      <c r="C10" s="15">
        <v>3</v>
      </c>
      <c r="D10" s="11">
        <v>0</v>
      </c>
      <c r="E10" s="11">
        <v>0</v>
      </c>
      <c r="F10" s="11">
        <v>2</v>
      </c>
      <c r="G10" s="11">
        <v>1</v>
      </c>
      <c r="H10" s="11">
        <v>0</v>
      </c>
      <c r="I10" s="11">
        <v>0</v>
      </c>
      <c r="J10" s="11">
        <v>0</v>
      </c>
      <c r="K10" s="18">
        <v>3</v>
      </c>
    </row>
    <row r="11" spans="2:12" ht="15.75" customHeight="1">
      <c r="B11" s="11" t="s">
        <v>58</v>
      </c>
      <c r="C11" s="16">
        <v>2</v>
      </c>
      <c r="D11" s="12">
        <v>0</v>
      </c>
      <c r="E11" s="12">
        <v>0</v>
      </c>
      <c r="F11" s="14">
        <v>0</v>
      </c>
      <c r="G11" s="12">
        <v>2</v>
      </c>
      <c r="H11" s="12">
        <v>0</v>
      </c>
      <c r="I11" s="12">
        <v>0</v>
      </c>
      <c r="J11" s="12">
        <v>0</v>
      </c>
      <c r="K11" s="19">
        <v>2</v>
      </c>
    </row>
    <row r="12" spans="2:12" ht="14.45" customHeight="1">
      <c r="B12" s="11" t="s">
        <v>60</v>
      </c>
      <c r="C12" s="16">
        <v>2</v>
      </c>
      <c r="D12" s="12">
        <v>0</v>
      </c>
      <c r="E12" s="12">
        <v>0</v>
      </c>
      <c r="F12" s="14">
        <v>0</v>
      </c>
      <c r="G12" s="12">
        <v>2</v>
      </c>
      <c r="H12" s="12">
        <v>0</v>
      </c>
      <c r="I12" s="12">
        <v>0</v>
      </c>
      <c r="J12" s="12">
        <v>0</v>
      </c>
      <c r="K12" s="19">
        <v>2</v>
      </c>
    </row>
    <row r="13" spans="2:12" ht="15.75" customHeight="1">
      <c r="B13" s="11" t="s">
        <v>62</v>
      </c>
      <c r="C13" s="15">
        <v>2</v>
      </c>
      <c r="D13" s="11">
        <v>0</v>
      </c>
      <c r="E13" s="11">
        <v>0</v>
      </c>
      <c r="F13" s="11">
        <v>0</v>
      </c>
      <c r="G13" s="11">
        <v>1</v>
      </c>
      <c r="H13" s="11">
        <v>1</v>
      </c>
      <c r="I13" s="11">
        <v>0</v>
      </c>
      <c r="J13" s="11">
        <v>0</v>
      </c>
      <c r="K13" s="18">
        <v>2</v>
      </c>
    </row>
    <row r="14" spans="2:12" ht="15.75" customHeight="1">
      <c r="B14" s="11" t="s">
        <v>66</v>
      </c>
      <c r="C14" s="15">
        <v>4</v>
      </c>
      <c r="D14" s="11">
        <v>0</v>
      </c>
      <c r="E14" s="11">
        <v>0</v>
      </c>
      <c r="F14" s="11">
        <v>0</v>
      </c>
      <c r="G14" s="11">
        <v>2</v>
      </c>
      <c r="H14" s="11">
        <v>2</v>
      </c>
      <c r="I14" s="11">
        <v>0</v>
      </c>
      <c r="J14" s="11">
        <v>0</v>
      </c>
      <c r="K14" s="18">
        <v>4</v>
      </c>
    </row>
    <row r="15" spans="2:12" ht="15.75" customHeight="1">
      <c r="B15" s="11" t="s">
        <v>69</v>
      </c>
      <c r="C15" s="15">
        <v>1</v>
      </c>
      <c r="D15" s="11">
        <v>0</v>
      </c>
      <c r="E15" s="11">
        <v>0</v>
      </c>
      <c r="F15" s="11">
        <v>0</v>
      </c>
      <c r="G15" s="11">
        <v>1</v>
      </c>
      <c r="H15" s="11">
        <v>0</v>
      </c>
      <c r="I15" s="11">
        <v>0</v>
      </c>
      <c r="J15" s="11">
        <v>0</v>
      </c>
      <c r="K15" s="18">
        <v>1</v>
      </c>
    </row>
    <row r="16" spans="2:12" ht="15.75" customHeight="1">
      <c r="B16" s="11" t="s">
        <v>71</v>
      </c>
      <c r="C16" s="15">
        <v>3</v>
      </c>
      <c r="D16" s="11">
        <v>0</v>
      </c>
      <c r="E16" s="11">
        <v>0</v>
      </c>
      <c r="F16" s="11">
        <v>0</v>
      </c>
      <c r="G16" s="11">
        <v>0</v>
      </c>
      <c r="H16" s="11">
        <v>3</v>
      </c>
      <c r="I16" s="11">
        <v>0</v>
      </c>
      <c r="J16" s="11">
        <v>0</v>
      </c>
      <c r="K16" s="18">
        <v>3</v>
      </c>
    </row>
    <row r="17" spans="2:11" ht="15.75" customHeight="1">
      <c r="B17" s="11" t="s">
        <v>73</v>
      </c>
      <c r="C17" s="15">
        <v>2</v>
      </c>
      <c r="D17" s="11">
        <v>0</v>
      </c>
      <c r="E17" s="11">
        <v>0</v>
      </c>
      <c r="F17" s="11">
        <v>0</v>
      </c>
      <c r="G17" s="11">
        <v>0</v>
      </c>
      <c r="H17" s="11">
        <v>2</v>
      </c>
      <c r="I17" s="11">
        <v>0</v>
      </c>
      <c r="J17" s="11">
        <v>0</v>
      </c>
      <c r="K17" s="18">
        <v>2</v>
      </c>
    </row>
    <row r="18" spans="2:11" ht="15.75" customHeight="1">
      <c r="B18" s="11" t="s">
        <v>75</v>
      </c>
      <c r="C18" s="15">
        <v>2</v>
      </c>
      <c r="D18" s="11">
        <v>0</v>
      </c>
      <c r="E18" s="11">
        <v>0</v>
      </c>
      <c r="F18" s="11">
        <v>0</v>
      </c>
      <c r="G18" s="11">
        <v>0</v>
      </c>
      <c r="H18" s="11">
        <v>1</v>
      </c>
      <c r="I18" s="11">
        <v>1</v>
      </c>
      <c r="J18" s="11">
        <v>0</v>
      </c>
      <c r="K18" s="18">
        <v>2</v>
      </c>
    </row>
    <row r="19" spans="2:11" ht="15.75" customHeight="1">
      <c r="B19" s="11" t="s">
        <v>80</v>
      </c>
      <c r="C19" s="15">
        <v>3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3</v>
      </c>
      <c r="J19" s="11">
        <v>0</v>
      </c>
      <c r="K19" s="18">
        <v>3</v>
      </c>
    </row>
    <row r="20" spans="2:11" ht="15.75" customHeight="1">
      <c r="B20" s="11" t="s">
        <v>83</v>
      </c>
      <c r="C20" s="15">
        <v>2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2</v>
      </c>
      <c r="J20" s="11">
        <v>0</v>
      </c>
      <c r="K20" s="18">
        <v>2</v>
      </c>
    </row>
    <row r="21" spans="2:11" ht="15.75" customHeight="1">
      <c r="B21" s="11" t="s">
        <v>85</v>
      </c>
      <c r="C21" s="17">
        <v>2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2</v>
      </c>
      <c r="J21" s="11">
        <v>0</v>
      </c>
      <c r="K21" s="18">
        <v>2</v>
      </c>
    </row>
    <row r="22" spans="2:11" ht="15.75" customHeight="1">
      <c r="B22" s="11" t="s">
        <v>87</v>
      </c>
      <c r="C22" s="15">
        <v>2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2</v>
      </c>
      <c r="K22" s="18">
        <v>2</v>
      </c>
    </row>
    <row r="23" spans="2:11" ht="15.75" customHeight="1">
      <c r="B23" s="11" t="s">
        <v>89</v>
      </c>
      <c r="C23" s="15">
        <v>2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2</v>
      </c>
      <c r="K23" s="18">
        <v>2</v>
      </c>
    </row>
    <row r="24" spans="2:11" ht="15.75" customHeight="1"/>
    <row r="25" spans="2:11" ht="15.75" customHeight="1"/>
    <row r="26" spans="2:11" ht="15.75" customHeight="1"/>
    <row r="27" spans="2:11" ht="15.75" customHeight="1">
      <c r="B27" s="23" t="s">
        <v>99</v>
      </c>
      <c r="C27" s="24">
        <f>SUM(C4:C23)</f>
        <v>48</v>
      </c>
      <c r="D27" s="24">
        <f>C27-SUM(D4:D23)</f>
        <v>48</v>
      </c>
      <c r="E27" s="25">
        <f t="shared" ref="D27:J27" si="0">D27-SUM(E4:E23)</f>
        <v>44</v>
      </c>
      <c r="F27" s="24">
        <f t="shared" si="0"/>
        <v>31</v>
      </c>
      <c r="G27" s="24">
        <f t="shared" si="0"/>
        <v>21</v>
      </c>
      <c r="H27" s="24">
        <f t="shared" si="0"/>
        <v>12</v>
      </c>
      <c r="I27" s="24">
        <f t="shared" si="0"/>
        <v>4</v>
      </c>
      <c r="J27" s="24">
        <f t="shared" si="0"/>
        <v>0</v>
      </c>
    </row>
    <row r="28" spans="2:11" ht="15.75" customHeight="1">
      <c r="B28" s="23" t="s">
        <v>100</v>
      </c>
      <c r="C28" s="24">
        <f>SUM(C4:C23)</f>
        <v>48</v>
      </c>
      <c r="D28" s="24">
        <f>C28-(SUM(C4:C23)/7)</f>
        <v>41.142857142857146</v>
      </c>
      <c r="E28" s="25">
        <f>D28-(SUM(C4:C23)/7)</f>
        <v>34.285714285714292</v>
      </c>
      <c r="F28" s="24">
        <f>E28-(SUM(C4:C23)/7)</f>
        <v>27.428571428571434</v>
      </c>
      <c r="G28" s="24">
        <f>F28-(SUM(C4:C23)/7)</f>
        <v>20.571428571428577</v>
      </c>
      <c r="H28" s="24">
        <f>G28-(SUM(C4:C23)/7)</f>
        <v>13.714285714285719</v>
      </c>
      <c r="I28" s="24">
        <f>H28-(SUM(C4:C23)/7)</f>
        <v>6.8571428571428621</v>
      </c>
      <c r="J28" s="24">
        <f>I28-(SUM(C4:C23)/7)</f>
        <v>0</v>
      </c>
    </row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 2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Janine Cayo</dc:creator>
  <cp:lastModifiedBy>User</cp:lastModifiedBy>
  <dcterms:created xsi:type="dcterms:W3CDTF">2026-06-24T16:41:50Z</dcterms:created>
  <dcterms:modified xsi:type="dcterms:W3CDTF">2026-07-10T05:36:01Z</dcterms:modified>
</cp:coreProperties>
</file>